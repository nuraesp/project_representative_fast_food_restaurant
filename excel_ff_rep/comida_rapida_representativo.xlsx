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e44e28d5d79fb233/Escriptori/portfolio_excel/excel_ff_rep/"/>
    </mc:Choice>
  </mc:AlternateContent>
  <xr:revisionPtr revIDLastSave="0" documentId="8_{8ECD2D3A-4DC9-424B-86F2-F2B99C750824}" xr6:coauthVersionLast="47" xr6:coauthVersionMax="47" xr10:uidLastSave="{00000000-0000-0000-0000-000000000000}"/>
  <bookViews>
    <workbookView xWindow="0" yWindow="0" windowWidth="23040" windowHeight="12240" tabRatio="500" firstSheet="1" xr2:uid="{00000000-000D-0000-FFFF-FFFF00000000}"/>
  </bookViews>
  <sheets>
    <sheet name="Portada" sheetId="6" r:id="rId1"/>
    <sheet name="Dashboard" sheetId="7" r:id="rId2"/>
    <sheet name="Resumen" sheetId="4" r:id="rId3"/>
    <sheet name="Análisis" sheetId="8" r:id="rId4"/>
    <sheet name="Tabla Dinámica" sheetId="5" r:id="rId5"/>
    <sheet name="Datos Limpios" sheetId="1" r:id="rId6"/>
    <sheet name="Parámetros" sheetId="9" r:id="rId7"/>
    <sheet name="Datos Originales" sheetId="3" state="hidden" r:id="rId8"/>
  </sheets>
  <externalReferences>
    <externalReference r:id="rId9"/>
  </externalReferences>
  <definedNames>
    <definedName name="date">'Datos Limpios'!$C$4:$C$1003</definedName>
    <definedName name="fecha_de_venta">'Datos Limpios'!$L$4:$L$1003</definedName>
    <definedName name="fecha_venta">[1]Datos_Limpios!$L$5:$L$1004</definedName>
    <definedName name="franja_horaria">Parámetros!$F$16:$F$20</definedName>
    <definedName name="ITEM">Resumen!#REF!</definedName>
    <definedName name="item_name">'Datos Limpios'!$D$4:$D$1003</definedName>
    <definedName name="item_name_1">Tabla23[item_name_1]</definedName>
    <definedName name="item_price">'Datos Limpios'!$F$4:$F$1003</definedName>
    <definedName name="item_price_1">Tabla23[item_price]</definedName>
    <definedName name="item_type">'Datos Limpios'!$E$4:$E$1003</definedName>
    <definedName name="MEAN_quantity">Resumen!#REF!</definedName>
    <definedName name="MEAN_transaction_amount">Resumen!#REF!</definedName>
    <definedName name="mes_venta">'Datos Limpios'!$M$4:$M$1003</definedName>
    <definedName name="método_de_pago">'Datos Limpios'!$N$4:$N$1003</definedName>
    <definedName name="metodo_pago">Parámetros!$H$10:$H$12</definedName>
    <definedName name="order_id">'Datos Limpios'!$B$4:$B$1003</definedName>
    <definedName name="PRICES">Resumen!#REF!</definedName>
    <definedName name="quantity">'Datos Limpios'!$G$4:$G$1003</definedName>
    <definedName name="received_by">'Datos Limpios'!$J$4:$J$1003</definedName>
    <definedName name="tamaño_pedido">'Datos Limpios'!$O$4:$O$1003</definedName>
    <definedName name="tamaño_pedido_1">Parámetros!$G$16:$G$18</definedName>
    <definedName name="time_of_sale">'Datos Limpios'!$K$4:$K$1003</definedName>
    <definedName name="transaction_amount">'Datos Limpios'!$H$4:$H$1003</definedName>
    <definedName name="transaction_type">'Datos Limpios'!$I$4:$I$1003</definedName>
    <definedName name="umbral_grande">Parámetros!$D$17</definedName>
    <definedName name="umbral_mediano">Parámetros!$D$16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7" i="7" l="1"/>
  <c r="D7" i="7"/>
  <c r="B7" i="7"/>
  <c r="G5" i="4"/>
  <c r="G6" i="4"/>
  <c r="G7" i="4"/>
  <c r="G8" i="4"/>
  <c r="G9" i="4"/>
  <c r="G10" i="4"/>
  <c r="G4" i="4"/>
  <c r="F5" i="4"/>
  <c r="F6" i="4"/>
  <c r="F7" i="4"/>
  <c r="F8" i="4"/>
  <c r="F9" i="4"/>
  <c r="F10" i="4"/>
  <c r="F4" i="4"/>
  <c r="D5" i="4"/>
  <c r="D6" i="4"/>
  <c r="D7" i="4"/>
  <c r="D8" i="4"/>
  <c r="D9" i="4"/>
  <c r="D10" i="4"/>
  <c r="D4" i="4"/>
  <c r="C5" i="4"/>
  <c r="C6" i="4"/>
  <c r="C7" i="4"/>
  <c r="C8" i="4"/>
  <c r="C9" i="4"/>
  <c r="C10" i="4"/>
  <c r="C4" i="4"/>
  <c r="J25" i="8"/>
  <c r="G24" i="8" a="1"/>
  <c r="G24" i="8" s="1"/>
  <c r="K24" i="8" s="1"/>
  <c r="B38" i="8" a="1"/>
  <c r="B38" i="8" s="1"/>
  <c r="B30" i="8" a="1"/>
  <c r="B30" i="8" s="1"/>
  <c r="B20" i="8" a="1"/>
  <c r="B20" i="8" s="1"/>
  <c r="D20" i="8" s="1"/>
  <c r="B8" i="8" a="1"/>
  <c r="B8" i="8" s="1"/>
  <c r="C8" i="8" s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4" i="1"/>
  <c r="M5" i="1"/>
  <c r="G8" i="8" s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4" i="1"/>
  <c r="I4" i="7"/>
  <c r="E4" i="7"/>
  <c r="C4" i="7"/>
  <c r="J4" i="4"/>
  <c r="I4" i="4"/>
  <c r="I25" i="8" l="1"/>
  <c r="H25" i="8"/>
  <c r="D39" i="8"/>
  <c r="L29" i="8"/>
  <c r="L27" i="8"/>
  <c r="H30" i="8"/>
  <c r="K27" i="8"/>
  <c r="I30" i="8"/>
  <c r="C32" i="8"/>
  <c r="C33" i="8" s="1"/>
  <c r="E30" i="8" s="1"/>
  <c r="J27" i="8"/>
  <c r="G9" i="8"/>
  <c r="I8" i="8"/>
  <c r="H8" i="8"/>
  <c r="C31" i="8"/>
  <c r="D30" i="8"/>
  <c r="C30" i="8"/>
  <c r="D32" i="8"/>
  <c r="D31" i="8"/>
  <c r="D38" i="8"/>
  <c r="I9" i="8"/>
  <c r="H9" i="8"/>
  <c r="G10" i="8"/>
  <c r="J29" i="8"/>
  <c r="K26" i="8"/>
  <c r="D23" i="8"/>
  <c r="C40" i="8"/>
  <c r="I24" i="8"/>
  <c r="K28" i="8"/>
  <c r="I26" i="8"/>
  <c r="H24" i="8"/>
  <c r="H27" i="8"/>
  <c r="C38" i="8"/>
  <c r="J24" i="8"/>
  <c r="D22" i="8"/>
  <c r="C39" i="8"/>
  <c r="L30" i="8"/>
  <c r="J28" i="8"/>
  <c r="H26" i="8"/>
  <c r="K29" i="8"/>
  <c r="I27" i="8"/>
  <c r="L24" i="8"/>
  <c r="I29" i="8"/>
  <c r="L26" i="8"/>
  <c r="H29" i="8"/>
  <c r="L28" i="8"/>
  <c r="D21" i="8"/>
  <c r="K30" i="8"/>
  <c r="I28" i="8"/>
  <c r="L25" i="8"/>
  <c r="J26" i="8"/>
  <c r="D40" i="8"/>
  <c r="J30" i="8"/>
  <c r="H28" i="8"/>
  <c r="K25" i="8"/>
  <c r="H7" i="7"/>
  <c r="C23" i="8"/>
  <c r="C22" i="8"/>
  <c r="C24" i="8"/>
  <c r="C21" i="8"/>
  <c r="C20" i="8"/>
  <c r="D24" i="8"/>
  <c r="C11" i="8"/>
  <c r="C9" i="8"/>
  <c r="C14" i="8"/>
  <c r="C12" i="8"/>
  <c r="C10" i="8"/>
  <c r="D8" i="8"/>
  <c r="D14" i="8"/>
  <c r="D12" i="8"/>
  <c r="D13" i="8"/>
  <c r="D11" i="8"/>
  <c r="D10" i="8"/>
  <c r="C13" i="8"/>
  <c r="D9" i="8"/>
  <c r="M29" i="8" l="1"/>
  <c r="K31" i="8"/>
  <c r="L31" i="8"/>
  <c r="M30" i="8"/>
  <c r="M28" i="8"/>
  <c r="D41" i="8"/>
  <c r="D33" i="8"/>
  <c r="M26" i="8"/>
  <c r="I31" i="8"/>
  <c r="M24" i="8"/>
  <c r="D25" i="8"/>
  <c r="G11" i="8"/>
  <c r="I10" i="8"/>
  <c r="H10" i="8"/>
  <c r="M25" i="8"/>
  <c r="J31" i="8"/>
  <c r="C41" i="8"/>
  <c r="E39" i="8" s="1"/>
  <c r="H31" i="8"/>
  <c r="M27" i="8"/>
  <c r="C25" i="8"/>
  <c r="E22" i="8" s="1"/>
  <c r="E31" i="8"/>
  <c r="E32" i="8"/>
  <c r="E24" i="8"/>
  <c r="D15" i="8"/>
  <c r="C15" i="8"/>
  <c r="E33" i="8" l="1"/>
  <c r="E23" i="8"/>
  <c r="M31" i="8"/>
  <c r="E38" i="8"/>
  <c r="E40" i="8"/>
  <c r="G12" i="8"/>
  <c r="I11" i="8"/>
  <c r="H11" i="8"/>
  <c r="E21" i="8"/>
  <c r="E20" i="8"/>
  <c r="E25" i="8" s="1"/>
  <c r="E8" i="8"/>
  <c r="E10" i="8"/>
  <c r="E9" i="8"/>
  <c r="E12" i="8"/>
  <c r="E11" i="8"/>
  <c r="E14" i="8"/>
  <c r="E13" i="8"/>
  <c r="E41" i="8" l="1"/>
  <c r="I12" i="8"/>
  <c r="H12" i="8"/>
  <c r="G13" i="8"/>
  <c r="E15" i="8"/>
  <c r="G14" i="8" l="1"/>
  <c r="I13" i="8"/>
  <c r="H13" i="8"/>
  <c r="G15" i="8" l="1"/>
  <c r="I14" i="8"/>
  <c r="H14" i="8"/>
  <c r="G16" i="8" l="1"/>
  <c r="I15" i="8"/>
  <c r="H15" i="8"/>
  <c r="G17" i="8" l="1"/>
  <c r="H16" i="8"/>
  <c r="I16" i="8"/>
  <c r="I17" i="8" l="1"/>
  <c r="H17" i="8"/>
  <c r="G18" i="8"/>
  <c r="I18" i="8" l="1"/>
  <c r="H18" i="8"/>
  <c r="G19" i="8"/>
  <c r="H19" i="8" l="1"/>
  <c r="I19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<sst xmlns="http://schemas.openxmlformats.org/spreadsheetml/2006/main" count="9954" uniqueCount="110">
  <si>
    <t>order_id</t>
  </si>
  <si>
    <t>date</t>
  </si>
  <si>
    <t>item_name</t>
  </si>
  <si>
    <t>item_type</t>
  </si>
  <si>
    <t>item_price</t>
  </si>
  <si>
    <t>quantity</t>
  </si>
  <si>
    <t>transaction_amount</t>
  </si>
  <si>
    <t>transaction_type</t>
  </si>
  <si>
    <t>received_by</t>
  </si>
  <si>
    <t>time_of_sale</t>
  </si>
  <si>
    <t>Aalopuri</t>
  </si>
  <si>
    <t>Fastfood</t>
  </si>
  <si>
    <t>Mr.</t>
  </si>
  <si>
    <t>Night</t>
  </si>
  <si>
    <t>Vadapav</t>
  </si>
  <si>
    <t>Cash</t>
  </si>
  <si>
    <t>Afternoon</t>
  </si>
  <si>
    <t>Sugarcane juice</t>
  </si>
  <si>
    <t>Beverages</t>
  </si>
  <si>
    <t>Online</t>
  </si>
  <si>
    <t>Evening</t>
  </si>
  <si>
    <t>Panipuri</t>
  </si>
  <si>
    <t>Mrs.</t>
  </si>
  <si>
    <t>Morning</t>
  </si>
  <si>
    <t>Frankie</t>
  </si>
  <si>
    <t>Sandwich</t>
  </si>
  <si>
    <t>Midnight</t>
  </si>
  <si>
    <t>Cold coffee</t>
  </si>
  <si>
    <t>MEAN_transaction_amount</t>
  </si>
  <si>
    <t>MEAN_quantity</t>
  </si>
  <si>
    <t>Total</t>
  </si>
  <si>
    <t>PRICES</t>
  </si>
  <si>
    <t>ITEM</t>
  </si>
  <si>
    <t>TOTALrevenue</t>
  </si>
  <si>
    <t>Quantity</t>
  </si>
  <si>
    <t>VARprices</t>
  </si>
  <si>
    <t>STDprices</t>
  </si>
  <si>
    <t>Etiquetas de fila</t>
  </si>
  <si>
    <t>Total general</t>
  </si>
  <si>
    <t>Etiquetas de columna</t>
  </si>
  <si>
    <t>Suma de quantity</t>
  </si>
  <si>
    <t>2022</t>
  </si>
  <si>
    <t>2023</t>
  </si>
  <si>
    <t>Autora:</t>
  </si>
  <si>
    <t>Objetivo y datos</t>
  </si>
  <si>
    <t>Índice de hojas</t>
  </si>
  <si>
    <t>Noura Es Salhi Piquer</t>
  </si>
  <si>
    <t>Proyecto para el portfolio. Excel Skills for Business: Essentials and Intermediate I (Macquarie University, Coursera)</t>
  </si>
  <si>
    <t>Analizar 1000 transacciones de un negocio de comida rápida (7 productos, Abril 2022 - Marzo 2023)</t>
  </si>
  <si>
    <t>Dashboard</t>
  </si>
  <si>
    <t>Resumen</t>
  </si>
  <si>
    <t>Análisis</t>
  </si>
  <si>
    <t>Tabla_Dinamica</t>
  </si>
  <si>
    <t>Datos_Limpios</t>
  </si>
  <si>
    <t>Parámetros</t>
  </si>
  <si>
    <t>Datos_Originales</t>
  </si>
  <si>
    <t>Datos: Se conserva la hoja de Datos_Originales y se trabaja sobre Datos_Limpios</t>
  </si>
  <si>
    <t>Hoja</t>
  </si>
  <si>
    <t>Contenido</t>
  </si>
  <si>
    <t>Estadísticas por producto</t>
  </si>
  <si>
    <t>Tabla por franja horaria, métodos de pago, tamaño de pedido, mes y mapa de calor</t>
  </si>
  <si>
    <t>Tabla dinámica: % de unidades por producto y año</t>
  </si>
  <si>
    <t>Tabla de datos limpios</t>
  </si>
  <si>
    <t>Datos tal y como llegaron</t>
  </si>
  <si>
    <t>Análisis de ventas en Excel de un restaurante representativo</t>
  </si>
  <si>
    <t>Restaurante Representativo - Dashboard de Ventas</t>
  </si>
  <si>
    <t>Periodo</t>
  </si>
  <si>
    <t>a</t>
  </si>
  <si>
    <t>Pedidos analizados:</t>
  </si>
  <si>
    <t>Ingresos totales</t>
  </si>
  <si>
    <t>Unidades vendidas</t>
  </si>
  <si>
    <t>Nº de pedidos</t>
  </si>
  <si>
    <t>Ticket medio</t>
  </si>
  <si>
    <t>Producto</t>
  </si>
  <si>
    <t>fecha_de_venta</t>
  </si>
  <si>
    <t>mes_venta</t>
  </si>
  <si>
    <t>método de pago</t>
  </si>
  <si>
    <t>tamaño pedido</t>
  </si>
  <si>
    <t>1. Ingresos por producto</t>
  </si>
  <si>
    <t xml:space="preserve">Párametros </t>
  </si>
  <si>
    <t>Lista: producto</t>
  </si>
  <si>
    <t>Lista: año</t>
  </si>
  <si>
    <t>Umbrales para clasificar el tamaño del pedido</t>
  </si>
  <si>
    <t>Mediano</t>
  </si>
  <si>
    <t>Grande</t>
  </si>
  <si>
    <t>Los umbrales de cantidad se dividen en 3 tramos: 1-5, 6-10 y 11-15</t>
  </si>
  <si>
    <t>Pedido mediano desde</t>
  </si>
  <si>
    <t>Pedido grande desde</t>
  </si>
  <si>
    <t>Ingresos</t>
  </si>
  <si>
    <t>Unidades</t>
  </si>
  <si>
    <t>% de Ingresos</t>
  </si>
  <si>
    <t>item_name_1</t>
  </si>
  <si>
    <t>2. Ventas por franja horaria</t>
  </si>
  <si>
    <t>Franja horaria</t>
  </si>
  <si>
    <t>Pedidos</t>
  </si>
  <si>
    <t>3 Método de pago</t>
  </si>
  <si>
    <t>Metodo de pago</t>
  </si>
  <si>
    <t>% de Pedidos</t>
  </si>
  <si>
    <t>Método pago</t>
  </si>
  <si>
    <t>Sin registrar</t>
  </si>
  <si>
    <t>4. Tamaño del pedido</t>
  </si>
  <si>
    <t>Tamaño</t>
  </si>
  <si>
    <t>Tamaño Pedido</t>
  </si>
  <si>
    <t>Pequeño</t>
  </si>
  <si>
    <t>5. Evolución mensual de ventas</t>
  </si>
  <si>
    <t>Mes</t>
  </si>
  <si>
    <t>6. Mapa de calor</t>
  </si>
  <si>
    <t>Totales</t>
  </si>
  <si>
    <t>KPIs</t>
  </si>
  <si>
    <t xml:space="preserve">Lista de precios, umbrales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</si>
</sst>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"/>
    <numFmt numFmtId="165" formatCode="#,##0&quot; €&quot;"/>
    <numFmt numFmtId="166" formatCode="_-* #,##0.00\ [$€-C0A]_-;\-* #,##0.00\ [$€-C0A]_-;_-* &quot;-&quot;??\ [$€-C0A]_-;_-@_-"/>
    <numFmt numFmtId="167" formatCode="_-* #,##0\ [$€-C0A]_-;\-* #,##0\ [$€-C0A]_-;_-* &quot;-&quot;??\ [$€-C0A]_-;_-@_-"/>
    <numFmt numFmtId="168" formatCode="0.0%"/>
  </numFmts>
  <fonts count="24" x14ac:knownFonts="1">
    <font>
      <sz val="10"/>
      <name val="Arial"/>
      <family val="2"/>
    </font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sz val="8"/>
      <color theme="3" tint="0.249977111117893"/>
      <name val="Arial"/>
      <family val="2"/>
    </font>
    <font>
      <sz val="22"/>
      <color theme="0"/>
      <name val="Arial"/>
      <family val="2"/>
    </font>
    <font>
      <sz val="12"/>
      <color theme="0"/>
      <name val="Arial"/>
      <family val="2"/>
    </font>
    <font>
      <sz val="12"/>
      <color theme="5" tint="-0.249977111117893"/>
      <name val="Arial"/>
      <family val="2"/>
    </font>
    <font>
      <sz val="10"/>
      <color theme="5" tint="-0.249977111117893"/>
      <name val="Arial"/>
      <family val="2"/>
    </font>
    <font>
      <sz val="20"/>
      <color theme="0"/>
      <name val="Arial"/>
      <family val="2"/>
    </font>
    <font>
      <sz val="10"/>
      <color rgb="FF595959"/>
      <name val="Arial"/>
      <family val="2"/>
    </font>
    <font>
      <sz val="10"/>
      <color rgb="FF0000FF"/>
      <name val="Arial"/>
      <family val="2"/>
    </font>
    <font>
      <sz val="16"/>
      <color theme="0"/>
      <name val="Arial"/>
      <family val="2"/>
    </font>
    <font>
      <b/>
      <sz val="16"/>
      <color theme="0"/>
      <name val="Arial"/>
      <family val="2"/>
    </font>
    <font>
      <b/>
      <sz val="12"/>
      <color rgb="FF002060"/>
      <name val="Arial"/>
      <family val="2"/>
    </font>
    <font>
      <sz val="18"/>
      <color theme="0"/>
      <name val="Arial"/>
      <family val="2"/>
    </font>
    <font>
      <sz val="18"/>
      <name val="Arial"/>
      <family val="2"/>
    </font>
    <font>
      <sz val="9"/>
      <color theme="1" tint="0.14999847407452621"/>
      <name val="Arial"/>
      <family val="2"/>
    </font>
    <font>
      <b/>
      <sz val="20"/>
      <color rgb="FF00206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2060"/>
        <bgColor indexed="64"/>
      </patternFill>
    </fill>
    <fill>
      <patternFill patternType="solid">
        <fgColor rgb="FFE4F0F4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E4F0F4"/>
        <bgColor rgb="FFF2F2F2"/>
      </patternFill>
    </fill>
  </fills>
  <borders count="2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rgb="FFBFBFBF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71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3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164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3" fontId="15" fillId="0" borderId="0" xfId="0" applyNumberFormat="1" applyFont="1" applyAlignment="1">
      <alignment horizontal="left" vertical="center"/>
    </xf>
    <xf numFmtId="17" fontId="0" fillId="0" borderId="0" xfId="0" applyNumberFormat="1"/>
    <xf numFmtId="0" fontId="2" fillId="0" borderId="3" xfId="0" applyFont="1" applyBorder="1"/>
    <xf numFmtId="0" fontId="14" fillId="3" borderId="0" xfId="0" applyFont="1" applyFill="1"/>
    <xf numFmtId="0" fontId="0" fillId="3" borderId="0" xfId="0" applyFill="1"/>
    <xf numFmtId="0" fontId="17" fillId="3" borderId="0" xfId="0" applyFont="1" applyFill="1"/>
    <xf numFmtId="0" fontId="4" fillId="3" borderId="0" xfId="0" applyFont="1" applyFill="1"/>
    <xf numFmtId="0" fontId="18" fillId="3" borderId="0" xfId="0" applyFont="1" applyFill="1"/>
    <xf numFmtId="0" fontId="2" fillId="0" borderId="2" xfId="0" applyFont="1" applyBorder="1"/>
    <xf numFmtId="0" fontId="4" fillId="3" borderId="4" xfId="0" applyFont="1" applyFill="1" applyBorder="1"/>
    <xf numFmtId="0" fontId="0" fillId="0" borderId="5" xfId="0" applyBorder="1"/>
    <xf numFmtId="0" fontId="0" fillId="0" borderId="6" xfId="0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5" fontId="16" fillId="0" borderId="10" xfId="0" applyNumberFormat="1" applyFont="1" applyBorder="1"/>
    <xf numFmtId="0" fontId="2" fillId="0" borderId="11" xfId="0" applyFont="1" applyBorder="1"/>
    <xf numFmtId="165" fontId="16" fillId="0" borderId="12" xfId="0" applyNumberFormat="1" applyFont="1" applyBorder="1"/>
    <xf numFmtId="0" fontId="0" fillId="0" borderId="14" xfId="0" applyBorder="1"/>
    <xf numFmtId="0" fontId="0" fillId="0" borderId="15" xfId="0" applyBorder="1"/>
    <xf numFmtId="0" fontId="8" fillId="0" borderId="0" xfId="0" applyFont="1"/>
    <xf numFmtId="167" fontId="0" fillId="0" borderId="0" xfId="0" applyNumberFormat="1"/>
    <xf numFmtId="168" fontId="1" fillId="0" borderId="0" xfId="1" applyNumberFormat="1"/>
    <xf numFmtId="16" fontId="0" fillId="0" borderId="0" xfId="0" applyNumberFormat="1"/>
    <xf numFmtId="0" fontId="6" fillId="4" borderId="0" xfId="0" applyFont="1" applyFill="1"/>
    <xf numFmtId="167" fontId="6" fillId="4" borderId="0" xfId="0" applyNumberFormat="1" applyFont="1" applyFill="1"/>
    <xf numFmtId="9" fontId="6" fillId="4" borderId="0" xfId="0" applyNumberFormat="1" applyFont="1" applyFill="1"/>
    <xf numFmtId="0" fontId="19" fillId="0" borderId="0" xfId="0" applyFont="1"/>
    <xf numFmtId="1" fontId="6" fillId="4" borderId="0" xfId="0" applyNumberFormat="1" applyFont="1" applyFill="1"/>
    <xf numFmtId="0" fontId="20" fillId="3" borderId="0" xfId="0" applyFont="1" applyFill="1"/>
    <xf numFmtId="0" fontId="21" fillId="3" borderId="0" xfId="0" applyFont="1" applyFill="1"/>
    <xf numFmtId="0" fontId="0" fillId="0" borderId="13" xfId="0" pivotButton="1" applyBorder="1"/>
    <xf numFmtId="0" fontId="0" fillId="0" borderId="14" xfId="0" pivotButton="1" applyBorder="1"/>
    <xf numFmtId="0" fontId="0" fillId="0" borderId="16" xfId="0" pivotButton="1" applyBorder="1"/>
    <xf numFmtId="0" fontId="6" fillId="0" borderId="0" xfId="0" applyFont="1"/>
    <xf numFmtId="0" fontId="6" fillId="0" borderId="18" xfId="0" applyFont="1" applyBorder="1"/>
    <xf numFmtId="0" fontId="0" fillId="0" borderId="16" xfId="0" applyBorder="1" applyAlignment="1">
      <alignment horizontal="left"/>
    </xf>
    <xf numFmtId="10" fontId="0" fillId="0" borderId="0" xfId="0" applyNumberFormat="1"/>
    <xf numFmtId="10" fontId="6" fillId="0" borderId="18" xfId="0" applyNumberFormat="1" applyFont="1" applyBorder="1"/>
    <xf numFmtId="0" fontId="0" fillId="0" borderId="19" xfId="0" applyBorder="1" applyAlignment="1">
      <alignment horizontal="left"/>
    </xf>
    <xf numFmtId="10" fontId="0" fillId="0" borderId="20" xfId="0" applyNumberFormat="1" applyBorder="1"/>
    <xf numFmtId="10" fontId="0" fillId="0" borderId="22" xfId="0" applyNumberFormat="1" applyBorder="1"/>
    <xf numFmtId="0" fontId="3" fillId="0" borderId="0" xfId="0" applyFont="1"/>
    <xf numFmtId="2" fontId="3" fillId="0" borderId="0" xfId="0" applyNumberFormat="1" applyFont="1"/>
    <xf numFmtId="167" fontId="3" fillId="0" borderId="0" xfId="0" applyNumberFormat="1" applyFont="1"/>
    <xf numFmtId="165" fontId="3" fillId="0" borderId="17" xfId="0" applyNumberFormat="1" applyFont="1" applyBorder="1"/>
    <xf numFmtId="165" fontId="3" fillId="0" borderId="21" xfId="0" applyNumberFormat="1" applyFont="1" applyBorder="1"/>
    <xf numFmtId="0" fontId="5" fillId="5" borderId="1" xfId="0" applyFont="1" applyFill="1" applyBorder="1"/>
    <xf numFmtId="0" fontId="3" fillId="2" borderId="0" xfId="0" applyFont="1" applyFill="1"/>
    <xf numFmtId="2" fontId="3" fillId="2" borderId="0" xfId="0" applyNumberFormat="1" applyFont="1" applyFill="1"/>
    <xf numFmtId="0" fontId="10" fillId="3" borderId="0" xfId="0" applyFont="1" applyFill="1"/>
    <xf numFmtId="0" fontId="22" fillId="6" borderId="13" xfId="0" applyFont="1" applyFill="1" applyBorder="1" applyAlignment="1">
      <alignment horizontal="center" vertical="center" wrapText="1"/>
    </xf>
    <xf numFmtId="0" fontId="22" fillId="6" borderId="14" xfId="0" applyFont="1" applyFill="1" applyBorder="1" applyAlignment="1">
      <alignment horizontal="center" vertical="center" wrapText="1"/>
    </xf>
    <xf numFmtId="0" fontId="22" fillId="6" borderId="15" xfId="0" applyFont="1" applyFill="1" applyBorder="1" applyAlignment="1">
      <alignment horizontal="center" vertical="center" wrapText="1"/>
    </xf>
    <xf numFmtId="167" fontId="23" fillId="4" borderId="19" xfId="0" applyNumberFormat="1" applyFont="1" applyFill="1" applyBorder="1" applyAlignment="1">
      <alignment horizontal="center"/>
    </xf>
    <xf numFmtId="167" fontId="23" fillId="4" borderId="20" xfId="0" applyNumberFormat="1" applyFont="1" applyFill="1" applyBorder="1" applyAlignment="1">
      <alignment horizontal="center"/>
    </xf>
    <xf numFmtId="0" fontId="23" fillId="4" borderId="20" xfId="0" applyFont="1" applyFill="1" applyBorder="1" applyAlignment="1">
      <alignment horizontal="center"/>
    </xf>
    <xf numFmtId="166" fontId="23" fillId="4" borderId="20" xfId="0" applyNumberFormat="1" applyFont="1" applyFill="1" applyBorder="1" applyAlignment="1">
      <alignment horizontal="center"/>
    </xf>
    <xf numFmtId="166" fontId="23" fillId="4" borderId="22" xfId="0" applyNumberFormat="1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2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5" formatCode="#,##0&quot; €&quot;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</dxf>
    <dxf>
      <numFmt numFmtId="0" formatCode="General"/>
    </dxf>
    <dxf>
      <numFmt numFmtId="22" formatCode="mmm\-yy"/>
    </dxf>
    <dxf>
      <numFmt numFmtId="19" formatCode="d/m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-* #,##0\ [$€-C0A]_-;\-* #,##0\ [$€-C0A]_-;_-* &quot;-&quot;??\ [$€-C0A]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&quot; €&quot;"/>
      <border diagonalUp="0" diagonalDown="0">
        <left style="thin">
          <color rgb="FFBFBFBF"/>
        </left>
        <right style="thin">
          <color indexed="64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E4F0F4"/>
      <color rgb="FFDAF0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 por tipo de pago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41-40F6-83A3-21200FAF80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41-40F6-83A3-21200FAF8056}"/>
              </c:ext>
            </c:extLst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41-40F6-83A3-21200FAF8056}"/>
              </c:ext>
            </c:extLst>
          </c:dPt>
          <c:cat>
            <c:strRef>
              <c:f>Análisis!$B$30:$B$32</c:f>
              <c:strCache>
                <c:ptCount val="3"/>
                <c:pt idx="0">
                  <c:v>Cash</c:v>
                </c:pt>
                <c:pt idx="1">
                  <c:v>Online</c:v>
                </c:pt>
                <c:pt idx="2">
                  <c:v>Sin registrar</c:v>
                </c:pt>
              </c:strCache>
            </c:strRef>
          </c:cat>
          <c:val>
            <c:numRef>
              <c:f>Análisis!$C$30:$C$32</c:f>
              <c:numCache>
                <c:formatCode>General</c:formatCode>
                <c:ptCount val="3"/>
                <c:pt idx="0">
                  <c:v>476</c:v>
                </c:pt>
                <c:pt idx="1">
                  <c:v>417</c:v>
                </c:pt>
                <c:pt idx="2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41-40F6-83A3-21200FAF8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Ingresos por franja</a:t>
            </a:r>
            <a:r>
              <a:rPr lang="es-ES" baseline="0"/>
              <a:t> horaria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Análisis!$B$20:$B$24</c:f>
              <c:strCache>
                <c:ptCount val="5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  <c:pt idx="4">
                  <c:v>Midnight</c:v>
                </c:pt>
              </c:strCache>
            </c:strRef>
          </c:cat>
          <c:val>
            <c:numRef>
              <c:f>Análisis!$C$20:$C$24</c:f>
              <c:numCache>
                <c:formatCode>_-* #,##0\ [$€-C0A]_-;\-* #,##0\ [$€-C0A]_-;_-* "-"??\ [$€-C0A]_-;_-@_-</c:formatCode>
                <c:ptCount val="5"/>
                <c:pt idx="0">
                  <c:v>53730</c:v>
                </c:pt>
                <c:pt idx="1">
                  <c:v>56345</c:v>
                </c:pt>
                <c:pt idx="2">
                  <c:v>52355</c:v>
                </c:pt>
                <c:pt idx="3">
                  <c:v>62075</c:v>
                </c:pt>
                <c:pt idx="4">
                  <c:v>50725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D-4229-892E-3F9876A7D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5297120"/>
        <c:axId val="306760592"/>
      </c:barChart>
      <c:catAx>
        <c:axId val="375297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6760592"/>
        <c:crosses val="autoZero"/>
        <c:auto val="1"/>
        <c:lblAlgn val="ctr"/>
        <c:lblOffset val="100"/>
        <c:noMultiLvlLbl val="0"/>
      </c:catAx>
      <c:valAx>
        <c:axId val="30676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[$€-C0A]_-;\-* #,##0\ [$€-C0A]_-;_-* &quot;-&quot;??\ [$€-C0A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529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Total</a:t>
            </a:r>
            <a:r>
              <a:rPr lang="es-ES" baseline="0"/>
              <a:t> Ventas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49-4DBA-9371-EDA4060D9AC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49-4DBA-9371-EDA4060D9AC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49-4DBA-9371-EDA4060D9ACA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049-4DBA-9371-EDA4060D9ACA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049-4DBA-9371-EDA4060D9ACA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049-4DBA-9371-EDA4060D9ACA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049-4DBA-9371-EDA4060D9ACA}"/>
              </c:ext>
            </c:extLst>
          </c:dPt>
          <c:cat>
            <c:strRef>
              <c:f>Resumen!$B$4:$B$10</c:f>
              <c:strCache>
                <c:ptCount val="7"/>
                <c:pt idx="0">
                  <c:v>Aalopuri</c:v>
                </c:pt>
                <c:pt idx="1">
                  <c:v>Cold coffee</c:v>
                </c:pt>
                <c:pt idx="2">
                  <c:v>Frankie</c:v>
                </c:pt>
                <c:pt idx="3">
                  <c:v>Panipuri</c:v>
                </c:pt>
                <c:pt idx="4">
                  <c:v>Sandwich</c:v>
                </c:pt>
                <c:pt idx="5">
                  <c:v>Sugarcane juice</c:v>
                </c:pt>
                <c:pt idx="6">
                  <c:v>Vadapav</c:v>
                </c:pt>
              </c:strCache>
            </c:strRef>
          </c:cat>
          <c:val>
            <c:numRef>
              <c:f>Resumen!$G$4:$G$10</c:f>
              <c:numCache>
                <c:formatCode>_-* #,##0\ [$€-C0A]_-;\-* #,##0\ [$€-C0A]_-;_-* "-"??\ [$€-C0A]_-;_-@_-</c:formatCode>
                <c:ptCount val="7"/>
                <c:pt idx="0">
                  <c:v>20880</c:v>
                </c:pt>
                <c:pt idx="1">
                  <c:v>54440</c:v>
                </c:pt>
                <c:pt idx="2">
                  <c:v>57500</c:v>
                </c:pt>
                <c:pt idx="3">
                  <c:v>24520</c:v>
                </c:pt>
                <c:pt idx="4">
                  <c:v>65820</c:v>
                </c:pt>
                <c:pt idx="5">
                  <c:v>31950</c:v>
                </c:pt>
                <c:pt idx="6">
                  <c:v>20120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E-46DB-8776-DFDD4743B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Cantidad</a:t>
            </a:r>
            <a:r>
              <a:rPr lang="es-ES" baseline="0"/>
              <a:t> media vendida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Resumen!$B$4:$B$10</c:f>
              <c:strCache>
                <c:ptCount val="7"/>
                <c:pt idx="0">
                  <c:v>Aalopuri</c:v>
                </c:pt>
                <c:pt idx="1">
                  <c:v>Cold coffee</c:v>
                </c:pt>
                <c:pt idx="2">
                  <c:v>Frankie</c:v>
                </c:pt>
                <c:pt idx="3">
                  <c:v>Panipuri</c:v>
                </c:pt>
                <c:pt idx="4">
                  <c:v>Sandwich</c:v>
                </c:pt>
                <c:pt idx="5">
                  <c:v>Sugarcane juice</c:v>
                </c:pt>
                <c:pt idx="6">
                  <c:v>Vadapav</c:v>
                </c:pt>
              </c:strCache>
            </c:strRef>
          </c:cat>
          <c:val>
            <c:numRef>
              <c:f>Resumen!$D$4:$D$10</c:f>
              <c:numCache>
                <c:formatCode>0.00</c:formatCode>
                <c:ptCount val="7"/>
                <c:pt idx="0">
                  <c:v>7.7910447761194028</c:v>
                </c:pt>
                <c:pt idx="1">
                  <c:v>8.4534161490683228</c:v>
                </c:pt>
                <c:pt idx="2">
                  <c:v>8.2733812949640289</c:v>
                </c:pt>
                <c:pt idx="3">
                  <c:v>8.1733333333333338</c:v>
                </c:pt>
                <c:pt idx="4">
                  <c:v>8.5038759689922472</c:v>
                </c:pt>
                <c:pt idx="5">
                  <c:v>8.3529411764705888</c:v>
                </c:pt>
                <c:pt idx="6">
                  <c:v>7.5074626865671643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2-46FF-8CD3-7D59DEE62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9536064"/>
        <c:axId val="306832112"/>
      </c:barChart>
      <c:catAx>
        <c:axId val="30953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6832112"/>
        <c:crosses val="autoZero"/>
        <c:auto val="1"/>
        <c:lblAlgn val="ctr"/>
        <c:lblOffset val="100"/>
        <c:noMultiLvlLbl val="0"/>
      </c:catAx>
      <c:valAx>
        <c:axId val="30683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953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 a lo largo del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Análisis!$G$8:$G$19</c:f>
              <c:numCache>
                <c:formatCode>d\-mmm</c:formatCode>
                <c:ptCount val="12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</c:numCache>
            </c:numRef>
          </c:cat>
          <c:val>
            <c:numRef>
              <c:f>Análisis!$H$8:$H$19</c:f>
              <c:numCache>
                <c:formatCode>_-* #,##0\ [$€-C0A]_-;\-* #,##0\ [$€-C0A]_-;_-* "-"??\ [$€-C0A]_-;_-@_-</c:formatCode>
                <c:ptCount val="12"/>
                <c:pt idx="0">
                  <c:v>17670</c:v>
                </c:pt>
                <c:pt idx="1">
                  <c:v>26570</c:v>
                </c:pt>
                <c:pt idx="2">
                  <c:v>17335</c:v>
                </c:pt>
                <c:pt idx="3">
                  <c:v>19490</c:v>
                </c:pt>
                <c:pt idx="4">
                  <c:v>22305</c:v>
                </c:pt>
                <c:pt idx="5">
                  <c:v>18640</c:v>
                </c:pt>
                <c:pt idx="6">
                  <c:v>27205</c:v>
                </c:pt>
                <c:pt idx="7">
                  <c:v>22900</c:v>
                </c:pt>
                <c:pt idx="8">
                  <c:v>23460</c:v>
                </c:pt>
                <c:pt idx="9">
                  <c:v>28670</c:v>
                </c:pt>
                <c:pt idx="10">
                  <c:v>25595</c:v>
                </c:pt>
                <c:pt idx="11">
                  <c:v>25390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64-4573-8F32-B104A60BA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3426224"/>
        <c:axId val="306798992"/>
      </c:lineChart>
      <c:dateAx>
        <c:axId val="169342622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6798992"/>
        <c:crosses val="autoZero"/>
        <c:auto val="1"/>
        <c:lblOffset val="100"/>
        <c:baseTimeUnit val="months"/>
      </c:dateAx>
      <c:valAx>
        <c:axId val="306798992"/>
        <c:scaling>
          <c:orientation val="minMax"/>
          <c:min val="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[$€-C0A]_-;\-* #,##0\ [$€-C0A]_-;_-* &quot;-&quot;??\ [$€-C0A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9342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388620</xdr:colOff>
      <xdr:row>7</xdr:row>
      <xdr:rowOff>160020</xdr:rowOff>
    </xdr:from>
    <xdr:to>
      <xdr:col>6</xdr:col>
      <xdr:colOff>457200</xdr:colOff>
      <xdr:row>24</xdr:row>
      <xdr:rowOff>53340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35F3BE8-BC24-49F4-B790-C5C8D30422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12</xdr:col>
      <xdr:colOff>601980</xdr:colOff>
      <xdr:row>24</xdr:row>
      <xdr:rowOff>60960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2DBB5D0-44D1-46A6-8666-D004CB799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163830</xdr:rowOff>
    </xdr:from>
    <xdr:to>
      <xdr:col>3</xdr:col>
      <xdr:colOff>1143000</xdr:colOff>
      <xdr:row>27</xdr:row>
      <xdr:rowOff>57150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D1EB4EB-4F5E-7064-A248-02B725045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1249680</xdr:colOff>
      <xdr:row>10</xdr:row>
      <xdr:rowOff>163830</xdr:rowOff>
    </xdr:from>
    <xdr:to>
      <xdr:col>8</xdr:col>
      <xdr:colOff>784860</xdr:colOff>
      <xdr:row>27</xdr:row>
      <xdr:rowOff>57150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8F77D87-3736-CF68-7CD5-08AD97F72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480060</xdr:colOff>
      <xdr:row>5</xdr:row>
      <xdr:rowOff>163830</xdr:rowOff>
    </xdr:from>
    <xdr:to>
      <xdr:col>14</xdr:col>
      <xdr:colOff>53340</xdr:colOff>
      <xdr:row>19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C196B4-E6F8-AFF5-4D92-6D16DF5E2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oupi\Downloads\Balaji_Fast_Food_Sales_mejorado.xlsx" TargetMode="External"/><Relationship Id="rId1" Type="http://schemas.openxmlformats.org/officeDocument/2006/relationships/externalLinkPath" Target="file:///C:\Users\noupi\Downloads\Balaji_Fast_Food_Sales_mejor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Dashboard"/>
      <sheetName val="Resumen"/>
      <sheetName val="Analisis"/>
      <sheetName val="Tabla_Dinamica"/>
      <sheetName val="Datos_Limpios"/>
      <sheetName val="Parametros"/>
      <sheetName val="Datos_Originales"/>
    </sheetNames>
    <sheetDataSet>
      <sheetData sheetId="0"/>
      <sheetData sheetId="1"/>
      <sheetData sheetId="2"/>
      <sheetData sheetId="3"/>
      <sheetData sheetId="4"/>
      <sheetData sheetId="5">
        <row r="5">
          <cell r="L5">
            <v>44745</v>
          </cell>
        </row>
        <row r="6">
          <cell r="L6">
            <v>44796</v>
          </cell>
        </row>
        <row r="7">
          <cell r="L7">
            <v>44885</v>
          </cell>
        </row>
        <row r="8">
          <cell r="L8">
            <v>44960</v>
          </cell>
        </row>
        <row r="9">
          <cell r="L9">
            <v>44836</v>
          </cell>
        </row>
        <row r="10">
          <cell r="L10">
            <v>44879</v>
          </cell>
        </row>
        <row r="11">
          <cell r="L11">
            <v>44684</v>
          </cell>
        </row>
        <row r="12">
          <cell r="L12">
            <v>44917</v>
          </cell>
        </row>
        <row r="13">
          <cell r="L13">
            <v>44722</v>
          </cell>
        </row>
        <row r="14">
          <cell r="L14">
            <v>44820</v>
          </cell>
        </row>
        <row r="15">
          <cell r="L15">
            <v>44896</v>
          </cell>
        </row>
        <row r="16">
          <cell r="L16">
            <v>44754</v>
          </cell>
        </row>
        <row r="17">
          <cell r="L17">
            <v>44917</v>
          </cell>
        </row>
        <row r="18">
          <cell r="L18">
            <v>44890</v>
          </cell>
        </row>
        <row r="19">
          <cell r="L19">
            <v>44960</v>
          </cell>
        </row>
        <row r="20">
          <cell r="L20">
            <v>44665</v>
          </cell>
        </row>
        <row r="21">
          <cell r="L21">
            <v>44850</v>
          </cell>
        </row>
        <row r="22">
          <cell r="L22">
            <v>44870</v>
          </cell>
        </row>
        <row r="23">
          <cell r="L23">
            <v>44795</v>
          </cell>
        </row>
        <row r="24">
          <cell r="L24">
            <v>44819</v>
          </cell>
        </row>
        <row r="25">
          <cell r="L25">
            <v>44916</v>
          </cell>
        </row>
        <row r="26">
          <cell r="L26">
            <v>44838</v>
          </cell>
        </row>
        <row r="27">
          <cell r="L27">
            <v>44707</v>
          </cell>
        </row>
        <row r="28">
          <cell r="L28">
            <v>44968</v>
          </cell>
        </row>
        <row r="29">
          <cell r="L29">
            <v>44804</v>
          </cell>
        </row>
        <row r="30">
          <cell r="L30">
            <v>44791</v>
          </cell>
        </row>
        <row r="31">
          <cell r="L31">
            <v>44846</v>
          </cell>
        </row>
        <row r="32">
          <cell r="L32">
            <v>44932</v>
          </cell>
        </row>
        <row r="33">
          <cell r="L33">
            <v>44967</v>
          </cell>
        </row>
        <row r="34">
          <cell r="L34">
            <v>44954</v>
          </cell>
        </row>
        <row r="35">
          <cell r="L35">
            <v>44818</v>
          </cell>
        </row>
        <row r="36">
          <cell r="L36">
            <v>44687</v>
          </cell>
        </row>
        <row r="37">
          <cell r="L37">
            <v>44962</v>
          </cell>
        </row>
        <row r="38">
          <cell r="L38">
            <v>44961</v>
          </cell>
        </row>
        <row r="39">
          <cell r="L39">
            <v>44703</v>
          </cell>
        </row>
        <row r="40">
          <cell r="L40">
            <v>44744</v>
          </cell>
        </row>
        <row r="41">
          <cell r="L41">
            <v>44931</v>
          </cell>
        </row>
        <row r="42">
          <cell r="L42">
            <v>44993</v>
          </cell>
        </row>
        <row r="43">
          <cell r="L43">
            <v>44695</v>
          </cell>
        </row>
        <row r="44">
          <cell r="L44">
            <v>44962</v>
          </cell>
        </row>
        <row r="45">
          <cell r="L45">
            <v>44878</v>
          </cell>
        </row>
        <row r="46">
          <cell r="L46">
            <v>44690</v>
          </cell>
        </row>
        <row r="47">
          <cell r="L47">
            <v>44707</v>
          </cell>
        </row>
        <row r="48">
          <cell r="L48">
            <v>44801</v>
          </cell>
        </row>
        <row r="49">
          <cell r="L49">
            <v>44788</v>
          </cell>
        </row>
        <row r="50">
          <cell r="L50">
            <v>44688</v>
          </cell>
        </row>
        <row r="51">
          <cell r="L51">
            <v>44752</v>
          </cell>
        </row>
        <row r="52">
          <cell r="L52">
            <v>44980</v>
          </cell>
        </row>
        <row r="53">
          <cell r="L53">
            <v>44871</v>
          </cell>
        </row>
        <row r="54">
          <cell r="L54">
            <v>44867</v>
          </cell>
        </row>
        <row r="55">
          <cell r="L55">
            <v>44697</v>
          </cell>
        </row>
        <row r="56">
          <cell r="L56">
            <v>45001</v>
          </cell>
        </row>
        <row r="57">
          <cell r="L57">
            <v>44768</v>
          </cell>
        </row>
        <row r="58">
          <cell r="L58">
            <v>44923</v>
          </cell>
        </row>
        <row r="59">
          <cell r="L59">
            <v>44688</v>
          </cell>
        </row>
        <row r="60">
          <cell r="L60">
            <v>44888</v>
          </cell>
        </row>
        <row r="61">
          <cell r="L61">
            <v>44777</v>
          </cell>
        </row>
        <row r="62">
          <cell r="L62">
            <v>44960</v>
          </cell>
        </row>
        <row r="63">
          <cell r="L63">
            <v>44743</v>
          </cell>
        </row>
        <row r="64">
          <cell r="L64">
            <v>44723</v>
          </cell>
        </row>
        <row r="65">
          <cell r="L65">
            <v>44920</v>
          </cell>
        </row>
        <row r="66">
          <cell r="L66">
            <v>44851</v>
          </cell>
        </row>
        <row r="67">
          <cell r="L67">
            <v>44896</v>
          </cell>
        </row>
        <row r="68">
          <cell r="L68">
            <v>44904</v>
          </cell>
        </row>
        <row r="69">
          <cell r="L69">
            <v>44767</v>
          </cell>
        </row>
        <row r="70">
          <cell r="L70">
            <v>44656</v>
          </cell>
        </row>
        <row r="71">
          <cell r="L71">
            <v>44696</v>
          </cell>
        </row>
        <row r="72">
          <cell r="L72">
            <v>44912</v>
          </cell>
        </row>
        <row r="73">
          <cell r="L73">
            <v>44936</v>
          </cell>
        </row>
        <row r="74">
          <cell r="L74">
            <v>44690</v>
          </cell>
        </row>
        <row r="75">
          <cell r="L75">
            <v>44900</v>
          </cell>
        </row>
        <row r="76">
          <cell r="L76">
            <v>44994</v>
          </cell>
        </row>
        <row r="77">
          <cell r="L77">
            <v>44771</v>
          </cell>
        </row>
        <row r="78">
          <cell r="L78">
            <v>44788</v>
          </cell>
        </row>
        <row r="79">
          <cell r="L79">
            <v>44959</v>
          </cell>
        </row>
        <row r="80">
          <cell r="L80">
            <v>44790</v>
          </cell>
        </row>
        <row r="81">
          <cell r="L81">
            <v>44961</v>
          </cell>
        </row>
        <row r="82">
          <cell r="L82">
            <v>44835</v>
          </cell>
        </row>
        <row r="83">
          <cell r="L83">
            <v>44870</v>
          </cell>
        </row>
        <row r="84">
          <cell r="L84">
            <v>44705</v>
          </cell>
        </row>
        <row r="85">
          <cell r="L85">
            <v>44884</v>
          </cell>
        </row>
        <row r="86">
          <cell r="L86">
            <v>44759</v>
          </cell>
        </row>
        <row r="87">
          <cell r="L87">
            <v>44878</v>
          </cell>
        </row>
        <row r="88">
          <cell r="L88">
            <v>44988</v>
          </cell>
        </row>
        <row r="89">
          <cell r="L89">
            <v>44792</v>
          </cell>
        </row>
        <row r="90">
          <cell r="L90">
            <v>44994</v>
          </cell>
        </row>
        <row r="91">
          <cell r="L91">
            <v>44710</v>
          </cell>
        </row>
        <row r="92">
          <cell r="L92">
            <v>44749</v>
          </cell>
        </row>
        <row r="93">
          <cell r="L93">
            <v>44918</v>
          </cell>
        </row>
        <row r="94">
          <cell r="L94">
            <v>44863</v>
          </cell>
        </row>
        <row r="95">
          <cell r="L95">
            <v>45007</v>
          </cell>
        </row>
        <row r="96">
          <cell r="L96">
            <v>44694</v>
          </cell>
        </row>
        <row r="97">
          <cell r="L97">
            <v>44745</v>
          </cell>
        </row>
        <row r="98">
          <cell r="L98">
            <v>44818</v>
          </cell>
        </row>
        <row r="99">
          <cell r="L99">
            <v>44693</v>
          </cell>
        </row>
        <row r="100">
          <cell r="L100">
            <v>44795</v>
          </cell>
        </row>
        <row r="101">
          <cell r="L101">
            <v>45014</v>
          </cell>
        </row>
        <row r="102">
          <cell r="L102">
            <v>44919</v>
          </cell>
        </row>
        <row r="103">
          <cell r="L103">
            <v>44815</v>
          </cell>
        </row>
        <row r="104">
          <cell r="L104">
            <v>44689</v>
          </cell>
        </row>
        <row r="105">
          <cell r="L105">
            <v>45011</v>
          </cell>
        </row>
        <row r="106">
          <cell r="L106">
            <v>44998</v>
          </cell>
        </row>
        <row r="107">
          <cell r="L107">
            <v>44999</v>
          </cell>
        </row>
        <row r="108">
          <cell r="L108">
            <v>44861</v>
          </cell>
        </row>
        <row r="109">
          <cell r="L109">
            <v>44951</v>
          </cell>
        </row>
        <row r="110">
          <cell r="L110">
            <v>44982</v>
          </cell>
        </row>
        <row r="111">
          <cell r="L111">
            <v>44964</v>
          </cell>
        </row>
        <row r="112">
          <cell r="L112">
            <v>44779</v>
          </cell>
        </row>
        <row r="113">
          <cell r="L113">
            <v>44781</v>
          </cell>
        </row>
        <row r="114">
          <cell r="L114">
            <v>44881</v>
          </cell>
        </row>
        <row r="115">
          <cell r="L115">
            <v>44808</v>
          </cell>
        </row>
        <row r="116">
          <cell r="L116">
            <v>44981</v>
          </cell>
        </row>
        <row r="117">
          <cell r="L117">
            <v>44907</v>
          </cell>
        </row>
        <row r="118">
          <cell r="L118">
            <v>44787</v>
          </cell>
        </row>
        <row r="119">
          <cell r="L119">
            <v>44938</v>
          </cell>
        </row>
        <row r="120">
          <cell r="L120">
            <v>44799</v>
          </cell>
        </row>
        <row r="121">
          <cell r="L121">
            <v>44994</v>
          </cell>
        </row>
        <row r="122">
          <cell r="L122">
            <v>44748</v>
          </cell>
        </row>
        <row r="123">
          <cell r="L123">
            <v>44693</v>
          </cell>
        </row>
        <row r="124">
          <cell r="L124">
            <v>44752</v>
          </cell>
        </row>
        <row r="125">
          <cell r="L125">
            <v>44799</v>
          </cell>
        </row>
        <row r="126">
          <cell r="L126">
            <v>44675</v>
          </cell>
        </row>
        <row r="127">
          <cell r="L127">
            <v>44721</v>
          </cell>
        </row>
        <row r="128">
          <cell r="L128">
            <v>44848</v>
          </cell>
        </row>
        <row r="129">
          <cell r="L129">
            <v>44661</v>
          </cell>
        </row>
        <row r="130">
          <cell r="L130">
            <v>44659</v>
          </cell>
        </row>
        <row r="131">
          <cell r="L131">
            <v>44898</v>
          </cell>
        </row>
        <row r="132">
          <cell r="L132">
            <v>44780</v>
          </cell>
        </row>
        <row r="133">
          <cell r="L133">
            <v>44853</v>
          </cell>
        </row>
        <row r="134">
          <cell r="L134">
            <v>44923</v>
          </cell>
        </row>
        <row r="135">
          <cell r="L135">
            <v>44945</v>
          </cell>
        </row>
        <row r="136">
          <cell r="L136">
            <v>44900</v>
          </cell>
        </row>
        <row r="137">
          <cell r="L137">
            <v>44915</v>
          </cell>
        </row>
        <row r="138">
          <cell r="L138">
            <v>44759</v>
          </cell>
        </row>
        <row r="139">
          <cell r="L139">
            <v>44940</v>
          </cell>
        </row>
        <row r="140">
          <cell r="L140">
            <v>44797</v>
          </cell>
        </row>
        <row r="141">
          <cell r="L141">
            <v>45004</v>
          </cell>
        </row>
        <row r="142">
          <cell r="L142">
            <v>44805</v>
          </cell>
        </row>
        <row r="143">
          <cell r="L143">
            <v>44983</v>
          </cell>
        </row>
        <row r="144">
          <cell r="L144">
            <v>44724</v>
          </cell>
        </row>
        <row r="145">
          <cell r="L145">
            <v>44727</v>
          </cell>
        </row>
        <row r="146">
          <cell r="L146">
            <v>44925</v>
          </cell>
        </row>
        <row r="147">
          <cell r="L147">
            <v>44822</v>
          </cell>
        </row>
        <row r="148">
          <cell r="L148">
            <v>44882</v>
          </cell>
        </row>
        <row r="149">
          <cell r="L149">
            <v>44843</v>
          </cell>
        </row>
        <row r="150">
          <cell r="L150">
            <v>44862</v>
          </cell>
        </row>
        <row r="151">
          <cell r="L151">
            <v>44698</v>
          </cell>
        </row>
        <row r="152">
          <cell r="L152">
            <v>45004</v>
          </cell>
        </row>
        <row r="153">
          <cell r="L153">
            <v>44782</v>
          </cell>
        </row>
        <row r="154">
          <cell r="L154">
            <v>44956</v>
          </cell>
        </row>
        <row r="155">
          <cell r="L155">
            <v>44752</v>
          </cell>
        </row>
        <row r="156">
          <cell r="L156">
            <v>44858</v>
          </cell>
        </row>
        <row r="157">
          <cell r="L157">
            <v>44763</v>
          </cell>
        </row>
        <row r="158">
          <cell r="L158">
            <v>44908</v>
          </cell>
        </row>
        <row r="159">
          <cell r="L159">
            <v>44964</v>
          </cell>
        </row>
        <row r="160">
          <cell r="L160">
            <v>45010</v>
          </cell>
        </row>
        <row r="161">
          <cell r="L161">
            <v>44981</v>
          </cell>
        </row>
        <row r="162">
          <cell r="L162">
            <v>44697</v>
          </cell>
        </row>
        <row r="163">
          <cell r="L163">
            <v>44837</v>
          </cell>
        </row>
        <row r="164">
          <cell r="L164">
            <v>44765</v>
          </cell>
        </row>
        <row r="165">
          <cell r="L165">
            <v>44945</v>
          </cell>
        </row>
        <row r="166">
          <cell r="L166">
            <v>44688</v>
          </cell>
        </row>
        <row r="167">
          <cell r="L167">
            <v>44932</v>
          </cell>
        </row>
        <row r="168">
          <cell r="L168">
            <v>44783</v>
          </cell>
        </row>
        <row r="169">
          <cell r="L169">
            <v>44931</v>
          </cell>
        </row>
        <row r="170">
          <cell r="L170">
            <v>44713</v>
          </cell>
        </row>
        <row r="171">
          <cell r="L171">
            <v>44980</v>
          </cell>
        </row>
        <row r="172">
          <cell r="L172">
            <v>44670</v>
          </cell>
        </row>
        <row r="173">
          <cell r="L173">
            <v>44732</v>
          </cell>
        </row>
        <row r="174">
          <cell r="L174">
            <v>44970</v>
          </cell>
        </row>
        <row r="175">
          <cell r="L175">
            <v>44987</v>
          </cell>
        </row>
        <row r="176">
          <cell r="L176">
            <v>44800</v>
          </cell>
        </row>
        <row r="177">
          <cell r="L177">
            <v>44946</v>
          </cell>
        </row>
        <row r="178">
          <cell r="L178">
            <v>44807</v>
          </cell>
        </row>
        <row r="179">
          <cell r="L179">
            <v>44851</v>
          </cell>
        </row>
        <row r="180">
          <cell r="L180">
            <v>44777</v>
          </cell>
        </row>
        <row r="181">
          <cell r="L181">
            <v>44763</v>
          </cell>
        </row>
        <row r="182">
          <cell r="L182">
            <v>44904</v>
          </cell>
        </row>
        <row r="183">
          <cell r="L183">
            <v>44988</v>
          </cell>
        </row>
        <row r="184">
          <cell r="L184">
            <v>44896</v>
          </cell>
        </row>
        <row r="185">
          <cell r="L185">
            <v>44721</v>
          </cell>
        </row>
        <row r="186">
          <cell r="L186">
            <v>44744</v>
          </cell>
        </row>
        <row r="187">
          <cell r="L187">
            <v>44752</v>
          </cell>
        </row>
        <row r="188">
          <cell r="L188">
            <v>44929</v>
          </cell>
        </row>
        <row r="189">
          <cell r="L189">
            <v>44939</v>
          </cell>
        </row>
        <row r="190">
          <cell r="L190">
            <v>45000</v>
          </cell>
        </row>
        <row r="191">
          <cell r="L191">
            <v>44845</v>
          </cell>
        </row>
        <row r="192">
          <cell r="L192">
            <v>44923</v>
          </cell>
        </row>
        <row r="193">
          <cell r="L193">
            <v>44965</v>
          </cell>
        </row>
        <row r="194">
          <cell r="L194">
            <v>44677</v>
          </cell>
        </row>
        <row r="195">
          <cell r="L195">
            <v>44701</v>
          </cell>
        </row>
        <row r="196">
          <cell r="L196">
            <v>44860</v>
          </cell>
        </row>
        <row r="197">
          <cell r="L197">
            <v>44962</v>
          </cell>
        </row>
        <row r="198">
          <cell r="L198">
            <v>44910</v>
          </cell>
        </row>
        <row r="199">
          <cell r="L199">
            <v>44674</v>
          </cell>
        </row>
        <row r="200">
          <cell r="L200">
            <v>44737</v>
          </cell>
        </row>
        <row r="201">
          <cell r="L201">
            <v>44873</v>
          </cell>
        </row>
        <row r="202">
          <cell r="L202">
            <v>44931</v>
          </cell>
        </row>
        <row r="203">
          <cell r="L203">
            <v>44958</v>
          </cell>
        </row>
        <row r="204">
          <cell r="L204">
            <v>44920</v>
          </cell>
        </row>
        <row r="205">
          <cell r="L205">
            <v>44742</v>
          </cell>
        </row>
        <row r="206">
          <cell r="L206">
            <v>44825</v>
          </cell>
        </row>
        <row r="207">
          <cell r="L207">
            <v>44662</v>
          </cell>
        </row>
        <row r="208">
          <cell r="L208">
            <v>44858</v>
          </cell>
        </row>
        <row r="209">
          <cell r="L209">
            <v>44851</v>
          </cell>
        </row>
        <row r="210">
          <cell r="L210">
            <v>44769</v>
          </cell>
        </row>
        <row r="211">
          <cell r="L211">
            <v>44977</v>
          </cell>
        </row>
        <row r="212">
          <cell r="L212">
            <v>44799</v>
          </cell>
        </row>
        <row r="213">
          <cell r="L213">
            <v>44899</v>
          </cell>
        </row>
        <row r="214">
          <cell r="L214">
            <v>44928</v>
          </cell>
        </row>
        <row r="215">
          <cell r="L215">
            <v>44669</v>
          </cell>
        </row>
        <row r="216">
          <cell r="L216">
            <v>44686</v>
          </cell>
        </row>
        <row r="217">
          <cell r="L217">
            <v>44833</v>
          </cell>
        </row>
        <row r="218">
          <cell r="L218">
            <v>44898</v>
          </cell>
        </row>
        <row r="219">
          <cell r="L219">
            <v>44905</v>
          </cell>
        </row>
        <row r="220">
          <cell r="L220">
            <v>44992</v>
          </cell>
        </row>
        <row r="221">
          <cell r="L221">
            <v>45008</v>
          </cell>
        </row>
        <row r="222">
          <cell r="L222">
            <v>44918</v>
          </cell>
        </row>
        <row r="223">
          <cell r="L223">
            <v>44835</v>
          </cell>
        </row>
        <row r="224">
          <cell r="L224">
            <v>44694</v>
          </cell>
        </row>
        <row r="225">
          <cell r="L225">
            <v>45011</v>
          </cell>
        </row>
        <row r="226">
          <cell r="L226">
            <v>44815</v>
          </cell>
        </row>
        <row r="227">
          <cell r="L227">
            <v>44825</v>
          </cell>
        </row>
        <row r="228">
          <cell r="L228">
            <v>45008</v>
          </cell>
        </row>
        <row r="229">
          <cell r="L229">
            <v>45001</v>
          </cell>
        </row>
        <row r="230">
          <cell r="L230">
            <v>44907</v>
          </cell>
        </row>
        <row r="231">
          <cell r="L231">
            <v>44882</v>
          </cell>
        </row>
        <row r="232">
          <cell r="L232">
            <v>44870</v>
          </cell>
        </row>
        <row r="233">
          <cell r="L233">
            <v>44910</v>
          </cell>
        </row>
        <row r="234">
          <cell r="L234">
            <v>44667</v>
          </cell>
        </row>
        <row r="235">
          <cell r="L235">
            <v>44667</v>
          </cell>
        </row>
        <row r="236">
          <cell r="L236">
            <v>44674</v>
          </cell>
        </row>
        <row r="237">
          <cell r="L237">
            <v>44773</v>
          </cell>
        </row>
        <row r="238">
          <cell r="L238">
            <v>44769</v>
          </cell>
        </row>
        <row r="239">
          <cell r="L239">
            <v>44894</v>
          </cell>
        </row>
        <row r="240">
          <cell r="L240">
            <v>44738</v>
          </cell>
        </row>
        <row r="241">
          <cell r="L241">
            <v>44873</v>
          </cell>
        </row>
        <row r="242">
          <cell r="L242">
            <v>44677</v>
          </cell>
        </row>
        <row r="243">
          <cell r="L243">
            <v>44899</v>
          </cell>
        </row>
        <row r="244">
          <cell r="L244">
            <v>44906</v>
          </cell>
        </row>
        <row r="245">
          <cell r="L245">
            <v>44718</v>
          </cell>
        </row>
        <row r="246">
          <cell r="L246">
            <v>44918</v>
          </cell>
        </row>
        <row r="247">
          <cell r="L247">
            <v>44877</v>
          </cell>
        </row>
        <row r="248">
          <cell r="L248">
            <v>44887</v>
          </cell>
        </row>
        <row r="249">
          <cell r="L249">
            <v>44837</v>
          </cell>
        </row>
        <row r="250">
          <cell r="L250">
            <v>44881</v>
          </cell>
        </row>
        <row r="251">
          <cell r="L251">
            <v>44837</v>
          </cell>
        </row>
        <row r="252">
          <cell r="L252">
            <v>44668</v>
          </cell>
        </row>
        <row r="253">
          <cell r="L253">
            <v>44860</v>
          </cell>
        </row>
        <row r="254">
          <cell r="L254">
            <v>44880</v>
          </cell>
        </row>
        <row r="255">
          <cell r="L255">
            <v>44916</v>
          </cell>
        </row>
        <row r="256">
          <cell r="L256">
            <v>45011</v>
          </cell>
        </row>
        <row r="257">
          <cell r="L257">
            <v>44730</v>
          </cell>
        </row>
        <row r="258">
          <cell r="L258">
            <v>44843</v>
          </cell>
        </row>
        <row r="259">
          <cell r="L259">
            <v>44681</v>
          </cell>
        </row>
        <row r="260">
          <cell r="L260">
            <v>45001</v>
          </cell>
        </row>
        <row r="261">
          <cell r="L261">
            <v>44929</v>
          </cell>
        </row>
        <row r="262">
          <cell r="L262">
            <v>44810</v>
          </cell>
        </row>
        <row r="263">
          <cell r="L263">
            <v>44883</v>
          </cell>
        </row>
        <row r="264">
          <cell r="L264">
            <v>44814</v>
          </cell>
        </row>
        <row r="265">
          <cell r="L265">
            <v>44937</v>
          </cell>
        </row>
        <row r="266">
          <cell r="L266">
            <v>44990</v>
          </cell>
        </row>
        <row r="267">
          <cell r="L267">
            <v>44731</v>
          </cell>
        </row>
        <row r="268">
          <cell r="L268">
            <v>44760</v>
          </cell>
        </row>
        <row r="269">
          <cell r="L269">
            <v>44788</v>
          </cell>
        </row>
        <row r="270">
          <cell r="L270">
            <v>44836</v>
          </cell>
        </row>
        <row r="271">
          <cell r="L271">
            <v>44990</v>
          </cell>
        </row>
        <row r="272">
          <cell r="L272">
            <v>44962</v>
          </cell>
        </row>
        <row r="273">
          <cell r="L273">
            <v>44917</v>
          </cell>
        </row>
        <row r="274">
          <cell r="L274">
            <v>44811</v>
          </cell>
        </row>
        <row r="275">
          <cell r="L275">
            <v>44684</v>
          </cell>
        </row>
        <row r="276">
          <cell r="L276">
            <v>44771</v>
          </cell>
        </row>
        <row r="277">
          <cell r="L277">
            <v>44788</v>
          </cell>
        </row>
        <row r="278">
          <cell r="L278">
            <v>44930</v>
          </cell>
        </row>
        <row r="279">
          <cell r="L279">
            <v>44961</v>
          </cell>
        </row>
        <row r="280">
          <cell r="L280">
            <v>44834</v>
          </cell>
        </row>
        <row r="281">
          <cell r="L281">
            <v>44903</v>
          </cell>
        </row>
        <row r="282">
          <cell r="L282">
            <v>44731</v>
          </cell>
        </row>
        <row r="283">
          <cell r="L283">
            <v>44818</v>
          </cell>
        </row>
        <row r="284">
          <cell r="L284">
            <v>44843</v>
          </cell>
        </row>
        <row r="285">
          <cell r="L285">
            <v>44782</v>
          </cell>
        </row>
        <row r="286">
          <cell r="L286">
            <v>44697</v>
          </cell>
        </row>
        <row r="287">
          <cell r="L287">
            <v>44744</v>
          </cell>
        </row>
        <row r="288">
          <cell r="L288">
            <v>44955</v>
          </cell>
        </row>
        <row r="289">
          <cell r="L289">
            <v>44740</v>
          </cell>
        </row>
        <row r="290">
          <cell r="L290">
            <v>44909</v>
          </cell>
        </row>
        <row r="291">
          <cell r="L291">
            <v>44779</v>
          </cell>
        </row>
        <row r="292">
          <cell r="L292">
            <v>44795</v>
          </cell>
        </row>
        <row r="293">
          <cell r="L293">
            <v>44893</v>
          </cell>
        </row>
        <row r="294">
          <cell r="L294">
            <v>44684</v>
          </cell>
        </row>
        <row r="295">
          <cell r="L295">
            <v>44953</v>
          </cell>
        </row>
        <row r="296">
          <cell r="L296">
            <v>44942</v>
          </cell>
        </row>
        <row r="297">
          <cell r="L297">
            <v>44672</v>
          </cell>
        </row>
        <row r="298">
          <cell r="L298">
            <v>44827</v>
          </cell>
        </row>
        <row r="299">
          <cell r="L299">
            <v>44763</v>
          </cell>
        </row>
        <row r="300">
          <cell r="L300">
            <v>44963</v>
          </cell>
        </row>
        <row r="301">
          <cell r="L301">
            <v>44681</v>
          </cell>
        </row>
        <row r="302">
          <cell r="L302">
            <v>44761</v>
          </cell>
        </row>
        <row r="303">
          <cell r="L303">
            <v>44764</v>
          </cell>
        </row>
        <row r="304">
          <cell r="L304">
            <v>44739</v>
          </cell>
        </row>
        <row r="305">
          <cell r="L305">
            <v>44954</v>
          </cell>
        </row>
        <row r="306">
          <cell r="L306">
            <v>45006</v>
          </cell>
        </row>
        <row r="307">
          <cell r="L307">
            <v>44744</v>
          </cell>
        </row>
        <row r="308">
          <cell r="L308">
            <v>44709</v>
          </cell>
        </row>
        <row r="309">
          <cell r="L309">
            <v>44990</v>
          </cell>
        </row>
        <row r="310">
          <cell r="L310">
            <v>44988</v>
          </cell>
        </row>
        <row r="311">
          <cell r="L311">
            <v>44970</v>
          </cell>
        </row>
        <row r="312">
          <cell r="L312">
            <v>44912</v>
          </cell>
        </row>
        <row r="313">
          <cell r="L313">
            <v>44848</v>
          </cell>
        </row>
        <row r="314">
          <cell r="L314">
            <v>44676</v>
          </cell>
        </row>
        <row r="315">
          <cell r="L315">
            <v>44773</v>
          </cell>
        </row>
        <row r="316">
          <cell r="L316">
            <v>44923</v>
          </cell>
        </row>
        <row r="317">
          <cell r="L317">
            <v>44670</v>
          </cell>
        </row>
        <row r="318">
          <cell r="L318">
            <v>44984</v>
          </cell>
        </row>
        <row r="319">
          <cell r="L319">
            <v>44977</v>
          </cell>
        </row>
        <row r="320">
          <cell r="L320">
            <v>44867</v>
          </cell>
        </row>
        <row r="321">
          <cell r="L321">
            <v>44995</v>
          </cell>
        </row>
        <row r="322">
          <cell r="L322">
            <v>44916</v>
          </cell>
        </row>
        <row r="323">
          <cell r="L323">
            <v>44742</v>
          </cell>
        </row>
        <row r="324">
          <cell r="L324">
            <v>45003</v>
          </cell>
        </row>
        <row r="325">
          <cell r="L325">
            <v>44965</v>
          </cell>
        </row>
        <row r="326">
          <cell r="L326">
            <v>44686</v>
          </cell>
        </row>
        <row r="327">
          <cell r="L327">
            <v>44924</v>
          </cell>
        </row>
        <row r="328">
          <cell r="L328">
            <v>44760</v>
          </cell>
        </row>
        <row r="329">
          <cell r="L329">
            <v>44987</v>
          </cell>
        </row>
        <row r="330">
          <cell r="L330">
            <v>44684</v>
          </cell>
        </row>
        <row r="331">
          <cell r="L331">
            <v>44894</v>
          </cell>
        </row>
        <row r="332">
          <cell r="L332">
            <v>44728</v>
          </cell>
        </row>
        <row r="333">
          <cell r="L333">
            <v>44936</v>
          </cell>
        </row>
        <row r="334">
          <cell r="L334">
            <v>44826</v>
          </cell>
        </row>
        <row r="335">
          <cell r="L335">
            <v>44794</v>
          </cell>
        </row>
        <row r="336">
          <cell r="L336">
            <v>44974</v>
          </cell>
        </row>
        <row r="337">
          <cell r="L337">
            <v>44864</v>
          </cell>
        </row>
        <row r="338">
          <cell r="L338">
            <v>44655</v>
          </cell>
        </row>
        <row r="339">
          <cell r="L339">
            <v>44858</v>
          </cell>
        </row>
        <row r="340">
          <cell r="L340">
            <v>44807</v>
          </cell>
        </row>
        <row r="341">
          <cell r="L341">
            <v>44849</v>
          </cell>
        </row>
        <row r="342">
          <cell r="L342">
            <v>44687</v>
          </cell>
        </row>
        <row r="343">
          <cell r="L343">
            <v>44973</v>
          </cell>
        </row>
        <row r="344">
          <cell r="L344">
            <v>44714</v>
          </cell>
        </row>
        <row r="345">
          <cell r="L345">
            <v>45004</v>
          </cell>
        </row>
        <row r="346">
          <cell r="L346">
            <v>44996</v>
          </cell>
        </row>
        <row r="347">
          <cell r="L347">
            <v>44944</v>
          </cell>
        </row>
        <row r="348">
          <cell r="L348">
            <v>44694</v>
          </cell>
        </row>
        <row r="349">
          <cell r="L349">
            <v>44690</v>
          </cell>
        </row>
        <row r="350">
          <cell r="L350">
            <v>44957</v>
          </cell>
        </row>
        <row r="351">
          <cell r="L351">
            <v>44736</v>
          </cell>
        </row>
        <row r="352">
          <cell r="L352">
            <v>44823</v>
          </cell>
        </row>
        <row r="353">
          <cell r="L353">
            <v>44790</v>
          </cell>
        </row>
        <row r="354">
          <cell r="L354">
            <v>44825</v>
          </cell>
        </row>
        <row r="355">
          <cell r="L355">
            <v>44750</v>
          </cell>
        </row>
        <row r="356">
          <cell r="L356">
            <v>44706</v>
          </cell>
        </row>
        <row r="357">
          <cell r="L357">
            <v>44699</v>
          </cell>
        </row>
        <row r="358">
          <cell r="L358">
            <v>44942</v>
          </cell>
        </row>
        <row r="359">
          <cell r="L359">
            <v>45000</v>
          </cell>
        </row>
        <row r="360">
          <cell r="L360">
            <v>44707</v>
          </cell>
        </row>
        <row r="361">
          <cell r="L361">
            <v>44825</v>
          </cell>
        </row>
        <row r="362">
          <cell r="L362">
            <v>44861</v>
          </cell>
        </row>
        <row r="363">
          <cell r="L363">
            <v>44800</v>
          </cell>
        </row>
        <row r="364">
          <cell r="L364">
            <v>44840</v>
          </cell>
        </row>
        <row r="365">
          <cell r="L365">
            <v>44742</v>
          </cell>
        </row>
        <row r="366">
          <cell r="L366">
            <v>44925</v>
          </cell>
        </row>
        <row r="367">
          <cell r="L367">
            <v>44690</v>
          </cell>
        </row>
        <row r="368">
          <cell r="L368">
            <v>44845</v>
          </cell>
        </row>
        <row r="369">
          <cell r="L369">
            <v>44750</v>
          </cell>
        </row>
        <row r="370">
          <cell r="L370">
            <v>44895</v>
          </cell>
        </row>
        <row r="371">
          <cell r="L371">
            <v>44783</v>
          </cell>
        </row>
        <row r="372">
          <cell r="L372">
            <v>44804</v>
          </cell>
        </row>
        <row r="373">
          <cell r="L373">
            <v>44745</v>
          </cell>
        </row>
        <row r="374">
          <cell r="L374">
            <v>44709</v>
          </cell>
        </row>
        <row r="375">
          <cell r="L375">
            <v>44852</v>
          </cell>
        </row>
        <row r="376">
          <cell r="L376">
            <v>44884</v>
          </cell>
        </row>
        <row r="377">
          <cell r="L377">
            <v>44689</v>
          </cell>
        </row>
        <row r="378">
          <cell r="L378">
            <v>44766</v>
          </cell>
        </row>
        <row r="379">
          <cell r="L379">
            <v>44882</v>
          </cell>
        </row>
        <row r="380">
          <cell r="L380">
            <v>44899</v>
          </cell>
        </row>
        <row r="381">
          <cell r="L381">
            <v>44701</v>
          </cell>
        </row>
        <row r="382">
          <cell r="L382">
            <v>44675</v>
          </cell>
        </row>
        <row r="383">
          <cell r="L383">
            <v>44972</v>
          </cell>
        </row>
        <row r="384">
          <cell r="L384">
            <v>44854</v>
          </cell>
        </row>
        <row r="385">
          <cell r="L385">
            <v>44983</v>
          </cell>
        </row>
        <row r="386">
          <cell r="L386">
            <v>44789</v>
          </cell>
        </row>
        <row r="387">
          <cell r="L387">
            <v>44687</v>
          </cell>
        </row>
        <row r="388">
          <cell r="L388">
            <v>44856</v>
          </cell>
        </row>
        <row r="389">
          <cell r="L389">
            <v>44676</v>
          </cell>
        </row>
        <row r="390">
          <cell r="L390">
            <v>44888</v>
          </cell>
        </row>
        <row r="391">
          <cell r="L391">
            <v>45002</v>
          </cell>
        </row>
        <row r="392">
          <cell r="L392">
            <v>44843</v>
          </cell>
        </row>
        <row r="393">
          <cell r="L393">
            <v>44917</v>
          </cell>
        </row>
        <row r="394">
          <cell r="L394">
            <v>44730</v>
          </cell>
        </row>
        <row r="395">
          <cell r="L395">
            <v>44672</v>
          </cell>
        </row>
        <row r="396">
          <cell r="L396">
            <v>44822</v>
          </cell>
        </row>
        <row r="397">
          <cell r="L397">
            <v>44744</v>
          </cell>
        </row>
        <row r="398">
          <cell r="L398">
            <v>44654</v>
          </cell>
        </row>
        <row r="399">
          <cell r="L399">
            <v>44957</v>
          </cell>
        </row>
        <row r="400">
          <cell r="L400">
            <v>44865</v>
          </cell>
        </row>
        <row r="401">
          <cell r="L401">
            <v>44748</v>
          </cell>
        </row>
        <row r="402">
          <cell r="L402">
            <v>44939</v>
          </cell>
        </row>
        <row r="403">
          <cell r="L403">
            <v>44736</v>
          </cell>
        </row>
        <row r="404">
          <cell r="L404">
            <v>44989</v>
          </cell>
        </row>
        <row r="405">
          <cell r="L405">
            <v>44845</v>
          </cell>
        </row>
        <row r="406">
          <cell r="L406">
            <v>45004</v>
          </cell>
        </row>
        <row r="407">
          <cell r="L407">
            <v>44829</v>
          </cell>
        </row>
        <row r="408">
          <cell r="L408">
            <v>44891</v>
          </cell>
        </row>
        <row r="409">
          <cell r="L409">
            <v>44908</v>
          </cell>
        </row>
        <row r="410">
          <cell r="L410">
            <v>44847</v>
          </cell>
        </row>
        <row r="411">
          <cell r="L411">
            <v>44928</v>
          </cell>
        </row>
        <row r="412">
          <cell r="L412">
            <v>44839</v>
          </cell>
        </row>
        <row r="413">
          <cell r="L413">
            <v>44819</v>
          </cell>
        </row>
        <row r="414">
          <cell r="L414">
            <v>44888</v>
          </cell>
        </row>
        <row r="415">
          <cell r="L415">
            <v>44885</v>
          </cell>
        </row>
        <row r="416">
          <cell r="L416">
            <v>44994</v>
          </cell>
        </row>
        <row r="417">
          <cell r="L417">
            <v>44654</v>
          </cell>
        </row>
        <row r="418">
          <cell r="L418">
            <v>44947</v>
          </cell>
        </row>
        <row r="419">
          <cell r="L419">
            <v>44900</v>
          </cell>
        </row>
        <row r="420">
          <cell r="L420">
            <v>44778</v>
          </cell>
        </row>
        <row r="421">
          <cell r="L421">
            <v>44942</v>
          </cell>
        </row>
        <row r="422">
          <cell r="L422">
            <v>44877</v>
          </cell>
        </row>
        <row r="423">
          <cell r="L423">
            <v>44842</v>
          </cell>
        </row>
        <row r="424">
          <cell r="L424">
            <v>44956</v>
          </cell>
        </row>
        <row r="425">
          <cell r="L425">
            <v>45009</v>
          </cell>
        </row>
        <row r="426">
          <cell r="L426">
            <v>44775</v>
          </cell>
        </row>
        <row r="427">
          <cell r="L427">
            <v>44855</v>
          </cell>
        </row>
        <row r="428">
          <cell r="L428">
            <v>44672</v>
          </cell>
        </row>
        <row r="429">
          <cell r="L429">
            <v>44790</v>
          </cell>
        </row>
        <row r="430">
          <cell r="L430">
            <v>44946</v>
          </cell>
        </row>
        <row r="431">
          <cell r="L431">
            <v>44702</v>
          </cell>
        </row>
        <row r="432">
          <cell r="L432">
            <v>44919</v>
          </cell>
        </row>
        <row r="433">
          <cell r="L433">
            <v>44823</v>
          </cell>
        </row>
        <row r="434">
          <cell r="L434">
            <v>44870</v>
          </cell>
        </row>
        <row r="435">
          <cell r="L435">
            <v>45001</v>
          </cell>
        </row>
        <row r="436">
          <cell r="L436">
            <v>45012</v>
          </cell>
        </row>
        <row r="437">
          <cell r="L437">
            <v>44708</v>
          </cell>
        </row>
        <row r="438">
          <cell r="L438">
            <v>44794</v>
          </cell>
        </row>
        <row r="439">
          <cell r="L439">
            <v>44689</v>
          </cell>
        </row>
        <row r="440">
          <cell r="L440">
            <v>44931</v>
          </cell>
        </row>
        <row r="441">
          <cell r="L441">
            <v>44804</v>
          </cell>
        </row>
        <row r="442">
          <cell r="L442">
            <v>44732</v>
          </cell>
        </row>
        <row r="443">
          <cell r="L443">
            <v>44834</v>
          </cell>
        </row>
        <row r="444">
          <cell r="L444">
            <v>44893</v>
          </cell>
        </row>
        <row r="445">
          <cell r="L445">
            <v>44867</v>
          </cell>
        </row>
        <row r="446">
          <cell r="L446">
            <v>44795</v>
          </cell>
        </row>
        <row r="447">
          <cell r="L447">
            <v>44809</v>
          </cell>
        </row>
        <row r="448">
          <cell r="L448">
            <v>44832</v>
          </cell>
        </row>
        <row r="449">
          <cell r="L449">
            <v>44856</v>
          </cell>
        </row>
        <row r="450">
          <cell r="L450">
            <v>44804</v>
          </cell>
        </row>
        <row r="451">
          <cell r="L451">
            <v>44943</v>
          </cell>
        </row>
        <row r="452">
          <cell r="L452">
            <v>44769</v>
          </cell>
        </row>
        <row r="453">
          <cell r="L453">
            <v>44813</v>
          </cell>
        </row>
        <row r="454">
          <cell r="L454">
            <v>44701</v>
          </cell>
        </row>
        <row r="455">
          <cell r="L455">
            <v>45000</v>
          </cell>
        </row>
        <row r="456">
          <cell r="L456">
            <v>44920</v>
          </cell>
        </row>
        <row r="457">
          <cell r="L457">
            <v>44854</v>
          </cell>
        </row>
        <row r="458">
          <cell r="L458">
            <v>44992</v>
          </cell>
        </row>
        <row r="459">
          <cell r="L459">
            <v>44986</v>
          </cell>
        </row>
        <row r="460">
          <cell r="L460">
            <v>44926</v>
          </cell>
        </row>
        <row r="461">
          <cell r="L461">
            <v>44850</v>
          </cell>
        </row>
        <row r="462">
          <cell r="L462">
            <v>44816</v>
          </cell>
        </row>
        <row r="463">
          <cell r="L463">
            <v>44720</v>
          </cell>
        </row>
        <row r="464">
          <cell r="L464">
            <v>44885</v>
          </cell>
        </row>
        <row r="465">
          <cell r="L465">
            <v>44764</v>
          </cell>
        </row>
        <row r="466">
          <cell r="L466">
            <v>44675</v>
          </cell>
        </row>
        <row r="467">
          <cell r="L467">
            <v>44723</v>
          </cell>
        </row>
        <row r="468">
          <cell r="L468">
            <v>44852</v>
          </cell>
        </row>
        <row r="469">
          <cell r="L469">
            <v>44941</v>
          </cell>
        </row>
        <row r="470">
          <cell r="L470">
            <v>44937</v>
          </cell>
        </row>
        <row r="471">
          <cell r="L471">
            <v>44851</v>
          </cell>
        </row>
        <row r="472">
          <cell r="L472">
            <v>44812</v>
          </cell>
        </row>
        <row r="473">
          <cell r="L473">
            <v>44696</v>
          </cell>
        </row>
        <row r="474">
          <cell r="L474">
            <v>44833</v>
          </cell>
        </row>
        <row r="475">
          <cell r="L475">
            <v>44970</v>
          </cell>
        </row>
        <row r="476">
          <cell r="L476">
            <v>44937</v>
          </cell>
        </row>
        <row r="477">
          <cell r="L477">
            <v>44808</v>
          </cell>
        </row>
        <row r="478">
          <cell r="L478">
            <v>44801</v>
          </cell>
        </row>
        <row r="479">
          <cell r="L479">
            <v>44981</v>
          </cell>
        </row>
        <row r="480">
          <cell r="L480">
            <v>44959</v>
          </cell>
        </row>
        <row r="481">
          <cell r="L481">
            <v>44970</v>
          </cell>
        </row>
        <row r="482">
          <cell r="L482">
            <v>44922</v>
          </cell>
        </row>
        <row r="483">
          <cell r="L483">
            <v>44970</v>
          </cell>
        </row>
        <row r="484">
          <cell r="L484">
            <v>44836</v>
          </cell>
        </row>
        <row r="485">
          <cell r="L485">
            <v>44863</v>
          </cell>
        </row>
        <row r="486">
          <cell r="L486">
            <v>44957</v>
          </cell>
        </row>
        <row r="487">
          <cell r="L487">
            <v>44678</v>
          </cell>
        </row>
        <row r="488">
          <cell r="L488">
            <v>45006</v>
          </cell>
        </row>
        <row r="489">
          <cell r="L489">
            <v>44983</v>
          </cell>
        </row>
        <row r="490">
          <cell r="L490">
            <v>44971</v>
          </cell>
        </row>
        <row r="491">
          <cell r="L491">
            <v>44708</v>
          </cell>
        </row>
        <row r="492">
          <cell r="L492">
            <v>44825</v>
          </cell>
        </row>
        <row r="493">
          <cell r="L493">
            <v>44960</v>
          </cell>
        </row>
        <row r="494">
          <cell r="L494">
            <v>44921</v>
          </cell>
        </row>
        <row r="495">
          <cell r="L495">
            <v>44712</v>
          </cell>
        </row>
        <row r="496">
          <cell r="L496">
            <v>44753</v>
          </cell>
        </row>
        <row r="497">
          <cell r="L497">
            <v>44836</v>
          </cell>
        </row>
        <row r="498">
          <cell r="L498">
            <v>44940</v>
          </cell>
        </row>
        <row r="499">
          <cell r="L499">
            <v>44854</v>
          </cell>
        </row>
        <row r="500">
          <cell r="L500">
            <v>44872</v>
          </cell>
        </row>
        <row r="501">
          <cell r="L501">
            <v>44951</v>
          </cell>
        </row>
        <row r="502">
          <cell r="L502">
            <v>44728</v>
          </cell>
        </row>
        <row r="503">
          <cell r="L503">
            <v>44769</v>
          </cell>
        </row>
        <row r="504">
          <cell r="L504">
            <v>44659</v>
          </cell>
        </row>
        <row r="505">
          <cell r="L505">
            <v>44782</v>
          </cell>
        </row>
        <row r="506">
          <cell r="L506">
            <v>44930</v>
          </cell>
        </row>
        <row r="507">
          <cell r="L507">
            <v>44869</v>
          </cell>
        </row>
        <row r="508">
          <cell r="L508">
            <v>44904</v>
          </cell>
        </row>
        <row r="509">
          <cell r="L509">
            <v>44969</v>
          </cell>
        </row>
        <row r="510">
          <cell r="L510">
            <v>44921</v>
          </cell>
        </row>
        <row r="511">
          <cell r="L511">
            <v>44909</v>
          </cell>
        </row>
        <row r="512">
          <cell r="L512">
            <v>44905</v>
          </cell>
        </row>
        <row r="513">
          <cell r="L513">
            <v>44860</v>
          </cell>
        </row>
        <row r="514">
          <cell r="L514">
            <v>44655</v>
          </cell>
        </row>
        <row r="515">
          <cell r="L515">
            <v>44775</v>
          </cell>
        </row>
        <row r="516">
          <cell r="L516">
            <v>44937</v>
          </cell>
        </row>
        <row r="517">
          <cell r="L517">
            <v>44758</v>
          </cell>
        </row>
        <row r="518">
          <cell r="L518">
            <v>44797</v>
          </cell>
        </row>
        <row r="519">
          <cell r="L519">
            <v>44867</v>
          </cell>
        </row>
        <row r="520">
          <cell r="L520">
            <v>44826</v>
          </cell>
        </row>
        <row r="521">
          <cell r="L521">
            <v>44744</v>
          </cell>
        </row>
        <row r="522">
          <cell r="L522">
            <v>44904</v>
          </cell>
        </row>
        <row r="523">
          <cell r="L523">
            <v>44890</v>
          </cell>
        </row>
        <row r="524">
          <cell r="L524">
            <v>44654</v>
          </cell>
        </row>
        <row r="525">
          <cell r="L525">
            <v>44953</v>
          </cell>
        </row>
        <row r="526">
          <cell r="L526">
            <v>44924</v>
          </cell>
        </row>
        <row r="527">
          <cell r="L527">
            <v>44868</v>
          </cell>
        </row>
        <row r="528">
          <cell r="L528">
            <v>44682</v>
          </cell>
        </row>
        <row r="529">
          <cell r="L529">
            <v>44685</v>
          </cell>
        </row>
        <row r="530">
          <cell r="L530">
            <v>44746</v>
          </cell>
        </row>
        <row r="531">
          <cell r="L531">
            <v>44932</v>
          </cell>
        </row>
        <row r="532">
          <cell r="L532">
            <v>44743</v>
          </cell>
        </row>
        <row r="533">
          <cell r="L533">
            <v>44696</v>
          </cell>
        </row>
        <row r="534">
          <cell r="L534">
            <v>44769</v>
          </cell>
        </row>
        <row r="535">
          <cell r="L535">
            <v>44838</v>
          </cell>
        </row>
        <row r="536">
          <cell r="L536">
            <v>45012</v>
          </cell>
        </row>
        <row r="537">
          <cell r="L537">
            <v>44962</v>
          </cell>
        </row>
        <row r="538">
          <cell r="L538">
            <v>44697</v>
          </cell>
        </row>
        <row r="539">
          <cell r="L539">
            <v>44809</v>
          </cell>
        </row>
        <row r="540">
          <cell r="L540">
            <v>44986</v>
          </cell>
        </row>
        <row r="541">
          <cell r="L541">
            <v>44951</v>
          </cell>
        </row>
        <row r="542">
          <cell r="L542">
            <v>44717</v>
          </cell>
        </row>
        <row r="543">
          <cell r="L543">
            <v>44811</v>
          </cell>
        </row>
        <row r="544">
          <cell r="L544">
            <v>44708</v>
          </cell>
        </row>
        <row r="545">
          <cell r="L545">
            <v>44772</v>
          </cell>
        </row>
        <row r="546">
          <cell r="L546">
            <v>44777</v>
          </cell>
        </row>
        <row r="547">
          <cell r="L547">
            <v>44661</v>
          </cell>
        </row>
        <row r="548">
          <cell r="L548">
            <v>44909</v>
          </cell>
        </row>
        <row r="549">
          <cell r="L549">
            <v>44927</v>
          </cell>
        </row>
        <row r="550">
          <cell r="L550">
            <v>44751</v>
          </cell>
        </row>
        <row r="551">
          <cell r="L551">
            <v>44695</v>
          </cell>
        </row>
        <row r="552">
          <cell r="L552">
            <v>45014</v>
          </cell>
        </row>
        <row r="553">
          <cell r="L553">
            <v>44666</v>
          </cell>
        </row>
        <row r="554">
          <cell r="L554">
            <v>44880</v>
          </cell>
        </row>
        <row r="555">
          <cell r="L555">
            <v>44772</v>
          </cell>
        </row>
        <row r="556">
          <cell r="L556">
            <v>44816</v>
          </cell>
        </row>
        <row r="557">
          <cell r="L557">
            <v>44876</v>
          </cell>
        </row>
        <row r="558">
          <cell r="L558">
            <v>44994</v>
          </cell>
        </row>
        <row r="559">
          <cell r="L559">
            <v>44667</v>
          </cell>
        </row>
        <row r="560">
          <cell r="L560">
            <v>44984</v>
          </cell>
        </row>
        <row r="561">
          <cell r="L561">
            <v>44742</v>
          </cell>
        </row>
        <row r="562">
          <cell r="L562">
            <v>44835</v>
          </cell>
        </row>
        <row r="563">
          <cell r="L563">
            <v>44804</v>
          </cell>
        </row>
        <row r="564">
          <cell r="L564">
            <v>44905</v>
          </cell>
        </row>
        <row r="565">
          <cell r="L565">
            <v>44725</v>
          </cell>
        </row>
        <row r="566">
          <cell r="L566">
            <v>44782</v>
          </cell>
        </row>
        <row r="567">
          <cell r="L567">
            <v>44847</v>
          </cell>
        </row>
        <row r="568">
          <cell r="L568">
            <v>44831</v>
          </cell>
        </row>
        <row r="569">
          <cell r="L569">
            <v>44831</v>
          </cell>
        </row>
        <row r="570">
          <cell r="L570">
            <v>44761</v>
          </cell>
        </row>
        <row r="571">
          <cell r="L571">
            <v>44850</v>
          </cell>
        </row>
        <row r="572">
          <cell r="L572">
            <v>44924</v>
          </cell>
        </row>
        <row r="573">
          <cell r="L573">
            <v>44928</v>
          </cell>
        </row>
        <row r="574">
          <cell r="L574">
            <v>44819</v>
          </cell>
        </row>
        <row r="575">
          <cell r="L575">
            <v>44893</v>
          </cell>
        </row>
        <row r="576">
          <cell r="L576">
            <v>44653</v>
          </cell>
        </row>
        <row r="577">
          <cell r="L577">
            <v>44811</v>
          </cell>
        </row>
        <row r="578">
          <cell r="L578">
            <v>44856</v>
          </cell>
        </row>
        <row r="579">
          <cell r="L579">
            <v>44919</v>
          </cell>
        </row>
        <row r="580">
          <cell r="L580">
            <v>45008</v>
          </cell>
        </row>
        <row r="581">
          <cell r="L581">
            <v>44810</v>
          </cell>
        </row>
        <row r="582">
          <cell r="L582">
            <v>44742</v>
          </cell>
        </row>
        <row r="583">
          <cell r="L583">
            <v>44678</v>
          </cell>
        </row>
        <row r="584">
          <cell r="L584">
            <v>44743</v>
          </cell>
        </row>
        <row r="585">
          <cell r="L585">
            <v>44674</v>
          </cell>
        </row>
        <row r="586">
          <cell r="L586">
            <v>44693</v>
          </cell>
        </row>
        <row r="587">
          <cell r="L587">
            <v>44712</v>
          </cell>
        </row>
        <row r="588">
          <cell r="L588">
            <v>44899</v>
          </cell>
        </row>
        <row r="589">
          <cell r="L589">
            <v>44990</v>
          </cell>
        </row>
        <row r="590">
          <cell r="L590">
            <v>44703</v>
          </cell>
        </row>
        <row r="591">
          <cell r="L591">
            <v>44660</v>
          </cell>
        </row>
        <row r="592">
          <cell r="L592">
            <v>44728</v>
          </cell>
        </row>
        <row r="593">
          <cell r="L593">
            <v>44798</v>
          </cell>
        </row>
        <row r="594">
          <cell r="L594">
            <v>45012</v>
          </cell>
        </row>
        <row r="595">
          <cell r="L595">
            <v>44835</v>
          </cell>
        </row>
        <row r="596">
          <cell r="L596">
            <v>44899</v>
          </cell>
        </row>
        <row r="597">
          <cell r="L597">
            <v>44973</v>
          </cell>
        </row>
        <row r="598">
          <cell r="L598">
            <v>44946</v>
          </cell>
        </row>
        <row r="599">
          <cell r="L599">
            <v>44979</v>
          </cell>
        </row>
        <row r="600">
          <cell r="L600">
            <v>44677</v>
          </cell>
        </row>
        <row r="601">
          <cell r="L601">
            <v>44895</v>
          </cell>
        </row>
        <row r="602">
          <cell r="L602">
            <v>44775</v>
          </cell>
        </row>
        <row r="603">
          <cell r="L603">
            <v>44837</v>
          </cell>
        </row>
        <row r="604">
          <cell r="L604">
            <v>44919</v>
          </cell>
        </row>
        <row r="605">
          <cell r="L605">
            <v>44866</v>
          </cell>
        </row>
        <row r="606">
          <cell r="L606">
            <v>44800</v>
          </cell>
        </row>
        <row r="607">
          <cell r="L607">
            <v>44804</v>
          </cell>
        </row>
        <row r="608">
          <cell r="L608">
            <v>44812</v>
          </cell>
        </row>
        <row r="609">
          <cell r="L609">
            <v>44655</v>
          </cell>
        </row>
        <row r="610">
          <cell r="L610">
            <v>44660</v>
          </cell>
        </row>
        <row r="611">
          <cell r="L611">
            <v>44910</v>
          </cell>
        </row>
        <row r="612">
          <cell r="L612">
            <v>44985</v>
          </cell>
        </row>
        <row r="613">
          <cell r="L613">
            <v>44964</v>
          </cell>
        </row>
        <row r="614">
          <cell r="L614">
            <v>44689</v>
          </cell>
        </row>
        <row r="615">
          <cell r="L615">
            <v>44737</v>
          </cell>
        </row>
        <row r="616">
          <cell r="L616">
            <v>44963</v>
          </cell>
        </row>
        <row r="617">
          <cell r="L617">
            <v>44722</v>
          </cell>
        </row>
        <row r="618">
          <cell r="L618">
            <v>44914</v>
          </cell>
        </row>
        <row r="619">
          <cell r="L619">
            <v>44787</v>
          </cell>
        </row>
        <row r="620">
          <cell r="L620">
            <v>44757</v>
          </cell>
        </row>
        <row r="621">
          <cell r="L621">
            <v>44740</v>
          </cell>
        </row>
        <row r="622">
          <cell r="L622">
            <v>44659</v>
          </cell>
        </row>
        <row r="623">
          <cell r="L623">
            <v>44813</v>
          </cell>
        </row>
        <row r="624">
          <cell r="L624">
            <v>44818</v>
          </cell>
        </row>
        <row r="625">
          <cell r="L625">
            <v>44970</v>
          </cell>
        </row>
        <row r="626">
          <cell r="L626">
            <v>44909</v>
          </cell>
        </row>
        <row r="627">
          <cell r="L627">
            <v>44653</v>
          </cell>
        </row>
        <row r="628">
          <cell r="L628">
            <v>44993</v>
          </cell>
        </row>
        <row r="629">
          <cell r="L629">
            <v>44729</v>
          </cell>
        </row>
        <row r="630">
          <cell r="L630">
            <v>44958</v>
          </cell>
        </row>
        <row r="631">
          <cell r="L631">
            <v>44734</v>
          </cell>
        </row>
        <row r="632">
          <cell r="L632">
            <v>44683</v>
          </cell>
        </row>
        <row r="633">
          <cell r="L633">
            <v>44946</v>
          </cell>
        </row>
        <row r="634">
          <cell r="L634">
            <v>44708</v>
          </cell>
        </row>
        <row r="635">
          <cell r="L635">
            <v>44743</v>
          </cell>
        </row>
        <row r="636">
          <cell r="L636">
            <v>44862</v>
          </cell>
        </row>
        <row r="637">
          <cell r="L637">
            <v>44705</v>
          </cell>
        </row>
        <row r="638">
          <cell r="L638">
            <v>44768</v>
          </cell>
        </row>
        <row r="639">
          <cell r="L639">
            <v>44963</v>
          </cell>
        </row>
        <row r="640">
          <cell r="L640">
            <v>44677</v>
          </cell>
        </row>
        <row r="641">
          <cell r="L641">
            <v>44695</v>
          </cell>
        </row>
        <row r="642">
          <cell r="L642">
            <v>44793</v>
          </cell>
        </row>
        <row r="643">
          <cell r="L643">
            <v>44952</v>
          </cell>
        </row>
        <row r="644">
          <cell r="L644">
            <v>44930</v>
          </cell>
        </row>
        <row r="645">
          <cell r="L645">
            <v>44966</v>
          </cell>
        </row>
        <row r="646">
          <cell r="L646">
            <v>44690</v>
          </cell>
        </row>
        <row r="647">
          <cell r="L647">
            <v>44854</v>
          </cell>
        </row>
        <row r="648">
          <cell r="L648">
            <v>44960</v>
          </cell>
        </row>
        <row r="649">
          <cell r="L649">
            <v>44768</v>
          </cell>
        </row>
        <row r="650">
          <cell r="L650">
            <v>44803</v>
          </cell>
        </row>
        <row r="651">
          <cell r="L651">
            <v>44717</v>
          </cell>
        </row>
        <row r="652">
          <cell r="L652">
            <v>44708</v>
          </cell>
        </row>
        <row r="653">
          <cell r="L653">
            <v>44870</v>
          </cell>
        </row>
        <row r="654">
          <cell r="L654">
            <v>44658</v>
          </cell>
        </row>
        <row r="655">
          <cell r="L655">
            <v>44753</v>
          </cell>
        </row>
        <row r="656">
          <cell r="L656">
            <v>44702</v>
          </cell>
        </row>
        <row r="657">
          <cell r="L657">
            <v>44711</v>
          </cell>
        </row>
        <row r="658">
          <cell r="L658">
            <v>44989</v>
          </cell>
        </row>
        <row r="659">
          <cell r="L659">
            <v>44742</v>
          </cell>
        </row>
        <row r="660">
          <cell r="L660">
            <v>44893</v>
          </cell>
        </row>
        <row r="661">
          <cell r="L661">
            <v>44936</v>
          </cell>
        </row>
        <row r="662">
          <cell r="L662">
            <v>44844</v>
          </cell>
        </row>
        <row r="663">
          <cell r="L663">
            <v>44947</v>
          </cell>
        </row>
        <row r="664">
          <cell r="L664">
            <v>44767</v>
          </cell>
        </row>
        <row r="665">
          <cell r="L665">
            <v>44845</v>
          </cell>
        </row>
        <row r="666">
          <cell r="L666">
            <v>44972</v>
          </cell>
        </row>
        <row r="667">
          <cell r="L667">
            <v>44962</v>
          </cell>
        </row>
        <row r="668">
          <cell r="L668">
            <v>44865</v>
          </cell>
        </row>
        <row r="669">
          <cell r="L669">
            <v>44687</v>
          </cell>
        </row>
        <row r="670">
          <cell r="L670">
            <v>44951</v>
          </cell>
        </row>
        <row r="671">
          <cell r="L671">
            <v>44832</v>
          </cell>
        </row>
        <row r="672">
          <cell r="L672">
            <v>44692</v>
          </cell>
        </row>
        <row r="673">
          <cell r="L673">
            <v>45003</v>
          </cell>
        </row>
        <row r="674">
          <cell r="L674">
            <v>44747</v>
          </cell>
        </row>
        <row r="675">
          <cell r="L675">
            <v>44843</v>
          </cell>
        </row>
        <row r="676">
          <cell r="L676">
            <v>44889</v>
          </cell>
        </row>
        <row r="677">
          <cell r="L677">
            <v>44821</v>
          </cell>
        </row>
        <row r="678">
          <cell r="L678">
            <v>44759</v>
          </cell>
        </row>
        <row r="679">
          <cell r="L679">
            <v>44668</v>
          </cell>
        </row>
        <row r="680">
          <cell r="L680">
            <v>44685</v>
          </cell>
        </row>
        <row r="681">
          <cell r="L681">
            <v>44700</v>
          </cell>
        </row>
        <row r="682">
          <cell r="L682">
            <v>44704</v>
          </cell>
        </row>
        <row r="683">
          <cell r="L683">
            <v>44867</v>
          </cell>
        </row>
        <row r="684">
          <cell r="L684">
            <v>44671</v>
          </cell>
        </row>
        <row r="685">
          <cell r="L685">
            <v>44904</v>
          </cell>
        </row>
        <row r="686">
          <cell r="L686">
            <v>44845</v>
          </cell>
        </row>
        <row r="687">
          <cell r="L687">
            <v>44785</v>
          </cell>
        </row>
        <row r="688">
          <cell r="L688">
            <v>44822</v>
          </cell>
        </row>
        <row r="689">
          <cell r="L689">
            <v>44701</v>
          </cell>
        </row>
        <row r="690">
          <cell r="L690">
            <v>44890</v>
          </cell>
        </row>
        <row r="691">
          <cell r="L691">
            <v>44913</v>
          </cell>
        </row>
        <row r="692">
          <cell r="L692">
            <v>44695</v>
          </cell>
        </row>
        <row r="693">
          <cell r="L693">
            <v>44786</v>
          </cell>
        </row>
        <row r="694">
          <cell r="L694">
            <v>44839</v>
          </cell>
        </row>
        <row r="695">
          <cell r="L695">
            <v>44652</v>
          </cell>
        </row>
        <row r="696">
          <cell r="L696">
            <v>44939</v>
          </cell>
        </row>
        <row r="697">
          <cell r="L697">
            <v>44894</v>
          </cell>
        </row>
        <row r="698">
          <cell r="L698">
            <v>44673</v>
          </cell>
        </row>
        <row r="699">
          <cell r="L699">
            <v>44797</v>
          </cell>
        </row>
        <row r="700">
          <cell r="L700">
            <v>44980</v>
          </cell>
        </row>
        <row r="701">
          <cell r="L701">
            <v>44686</v>
          </cell>
        </row>
        <row r="702">
          <cell r="L702">
            <v>44891</v>
          </cell>
        </row>
        <row r="703">
          <cell r="L703">
            <v>44813</v>
          </cell>
        </row>
        <row r="704">
          <cell r="L704">
            <v>44880</v>
          </cell>
        </row>
        <row r="705">
          <cell r="L705">
            <v>44761</v>
          </cell>
        </row>
        <row r="706">
          <cell r="L706">
            <v>45010</v>
          </cell>
        </row>
        <row r="707">
          <cell r="L707">
            <v>44866</v>
          </cell>
        </row>
        <row r="708">
          <cell r="L708">
            <v>44787</v>
          </cell>
        </row>
        <row r="709">
          <cell r="L709">
            <v>44841</v>
          </cell>
        </row>
        <row r="710">
          <cell r="L710">
            <v>44962</v>
          </cell>
        </row>
        <row r="711">
          <cell r="L711">
            <v>44911</v>
          </cell>
        </row>
        <row r="712">
          <cell r="L712">
            <v>45000</v>
          </cell>
        </row>
        <row r="713">
          <cell r="L713">
            <v>44979</v>
          </cell>
        </row>
        <row r="714">
          <cell r="L714">
            <v>45000</v>
          </cell>
        </row>
        <row r="715">
          <cell r="L715">
            <v>44864</v>
          </cell>
        </row>
        <row r="716">
          <cell r="L716">
            <v>44912</v>
          </cell>
        </row>
        <row r="717">
          <cell r="L717">
            <v>44897</v>
          </cell>
        </row>
        <row r="718">
          <cell r="L718">
            <v>44909</v>
          </cell>
        </row>
        <row r="719">
          <cell r="L719">
            <v>44663</v>
          </cell>
        </row>
        <row r="720">
          <cell r="L720">
            <v>44898</v>
          </cell>
        </row>
        <row r="721">
          <cell r="L721">
            <v>44845</v>
          </cell>
        </row>
        <row r="722">
          <cell r="L722">
            <v>44923</v>
          </cell>
        </row>
        <row r="723">
          <cell r="L723">
            <v>44690</v>
          </cell>
        </row>
        <row r="724">
          <cell r="L724">
            <v>44691</v>
          </cell>
        </row>
        <row r="725">
          <cell r="L725">
            <v>44786</v>
          </cell>
        </row>
        <row r="726">
          <cell r="L726">
            <v>44818</v>
          </cell>
        </row>
        <row r="727">
          <cell r="L727">
            <v>44973</v>
          </cell>
        </row>
        <row r="728">
          <cell r="L728">
            <v>44739</v>
          </cell>
        </row>
        <row r="729">
          <cell r="L729">
            <v>44746</v>
          </cell>
        </row>
        <row r="730">
          <cell r="L730">
            <v>44815</v>
          </cell>
        </row>
        <row r="731">
          <cell r="L731">
            <v>44798</v>
          </cell>
        </row>
        <row r="732">
          <cell r="L732">
            <v>44776</v>
          </cell>
        </row>
        <row r="733">
          <cell r="L733">
            <v>44889</v>
          </cell>
        </row>
        <row r="734">
          <cell r="L734">
            <v>44740</v>
          </cell>
        </row>
        <row r="735">
          <cell r="L735">
            <v>44994</v>
          </cell>
        </row>
        <row r="736">
          <cell r="L736">
            <v>44725</v>
          </cell>
        </row>
        <row r="737">
          <cell r="L737">
            <v>44960</v>
          </cell>
        </row>
        <row r="738">
          <cell r="L738">
            <v>44841</v>
          </cell>
        </row>
        <row r="739">
          <cell r="L739">
            <v>44783</v>
          </cell>
        </row>
        <row r="740">
          <cell r="L740">
            <v>44829</v>
          </cell>
        </row>
        <row r="741">
          <cell r="L741">
            <v>44824</v>
          </cell>
        </row>
        <row r="742">
          <cell r="L742">
            <v>44986</v>
          </cell>
        </row>
        <row r="743">
          <cell r="L743">
            <v>44718</v>
          </cell>
        </row>
        <row r="744">
          <cell r="L744">
            <v>44772</v>
          </cell>
        </row>
        <row r="745">
          <cell r="L745">
            <v>44758</v>
          </cell>
        </row>
        <row r="746">
          <cell r="L746">
            <v>44883</v>
          </cell>
        </row>
        <row r="747">
          <cell r="L747">
            <v>44874</v>
          </cell>
        </row>
        <row r="748">
          <cell r="L748">
            <v>44737</v>
          </cell>
        </row>
        <row r="749">
          <cell r="L749">
            <v>44815</v>
          </cell>
        </row>
        <row r="750">
          <cell r="L750">
            <v>44778</v>
          </cell>
        </row>
        <row r="751">
          <cell r="L751">
            <v>44940</v>
          </cell>
        </row>
        <row r="752">
          <cell r="L752">
            <v>44824</v>
          </cell>
        </row>
        <row r="753">
          <cell r="L753">
            <v>44804</v>
          </cell>
        </row>
        <row r="754">
          <cell r="L754">
            <v>44958</v>
          </cell>
        </row>
        <row r="755">
          <cell r="L755">
            <v>44820</v>
          </cell>
        </row>
        <row r="756">
          <cell r="L756">
            <v>44716</v>
          </cell>
        </row>
        <row r="757">
          <cell r="L757">
            <v>44738</v>
          </cell>
        </row>
        <row r="758">
          <cell r="L758">
            <v>44924</v>
          </cell>
        </row>
        <row r="759">
          <cell r="L759">
            <v>44928</v>
          </cell>
        </row>
        <row r="760">
          <cell r="L760">
            <v>44855</v>
          </cell>
        </row>
        <row r="761">
          <cell r="L761">
            <v>44920</v>
          </cell>
        </row>
        <row r="762">
          <cell r="L762">
            <v>44829</v>
          </cell>
        </row>
        <row r="763">
          <cell r="L763">
            <v>44920</v>
          </cell>
        </row>
        <row r="764">
          <cell r="L764">
            <v>44879</v>
          </cell>
        </row>
        <row r="765">
          <cell r="L765">
            <v>44877</v>
          </cell>
        </row>
        <row r="766">
          <cell r="L766">
            <v>44660</v>
          </cell>
        </row>
        <row r="767">
          <cell r="L767">
            <v>44746</v>
          </cell>
        </row>
        <row r="768">
          <cell r="L768">
            <v>44971</v>
          </cell>
        </row>
        <row r="769">
          <cell r="L769">
            <v>44727</v>
          </cell>
        </row>
        <row r="770">
          <cell r="L770">
            <v>44731</v>
          </cell>
        </row>
        <row r="771">
          <cell r="L771">
            <v>44983</v>
          </cell>
        </row>
        <row r="772">
          <cell r="L772">
            <v>44938</v>
          </cell>
        </row>
        <row r="773">
          <cell r="L773">
            <v>44719</v>
          </cell>
        </row>
        <row r="774">
          <cell r="L774">
            <v>44979</v>
          </cell>
        </row>
        <row r="775">
          <cell r="L775">
            <v>44788</v>
          </cell>
        </row>
        <row r="776">
          <cell r="L776">
            <v>45005</v>
          </cell>
        </row>
        <row r="777">
          <cell r="L777">
            <v>44787</v>
          </cell>
        </row>
        <row r="778">
          <cell r="L778">
            <v>45000</v>
          </cell>
        </row>
        <row r="779">
          <cell r="L779">
            <v>45012</v>
          </cell>
        </row>
        <row r="780">
          <cell r="L780">
            <v>44964</v>
          </cell>
        </row>
        <row r="781">
          <cell r="L781">
            <v>44857</v>
          </cell>
        </row>
        <row r="782">
          <cell r="L782">
            <v>44723</v>
          </cell>
        </row>
        <row r="783">
          <cell r="L783">
            <v>44942</v>
          </cell>
        </row>
        <row r="784">
          <cell r="L784">
            <v>44892</v>
          </cell>
        </row>
        <row r="785">
          <cell r="L785">
            <v>44708</v>
          </cell>
        </row>
        <row r="786">
          <cell r="L786">
            <v>44911</v>
          </cell>
        </row>
        <row r="787">
          <cell r="L787">
            <v>44680</v>
          </cell>
        </row>
        <row r="788">
          <cell r="L788">
            <v>44751</v>
          </cell>
        </row>
        <row r="789">
          <cell r="L789">
            <v>44902</v>
          </cell>
        </row>
        <row r="790">
          <cell r="L790">
            <v>44998</v>
          </cell>
        </row>
        <row r="791">
          <cell r="L791">
            <v>45010</v>
          </cell>
        </row>
        <row r="792">
          <cell r="L792">
            <v>44786</v>
          </cell>
        </row>
        <row r="793">
          <cell r="L793">
            <v>44776</v>
          </cell>
        </row>
        <row r="794">
          <cell r="L794">
            <v>44762</v>
          </cell>
        </row>
        <row r="795">
          <cell r="L795">
            <v>44658</v>
          </cell>
        </row>
        <row r="796">
          <cell r="L796">
            <v>44982</v>
          </cell>
        </row>
        <row r="797">
          <cell r="L797">
            <v>44803</v>
          </cell>
        </row>
        <row r="798">
          <cell r="L798">
            <v>44836</v>
          </cell>
        </row>
        <row r="799">
          <cell r="L799">
            <v>44936</v>
          </cell>
        </row>
        <row r="800">
          <cell r="L800">
            <v>44737</v>
          </cell>
        </row>
        <row r="801">
          <cell r="L801">
            <v>44891</v>
          </cell>
        </row>
        <row r="802">
          <cell r="L802">
            <v>44703</v>
          </cell>
        </row>
        <row r="803">
          <cell r="L803">
            <v>44937</v>
          </cell>
        </row>
        <row r="804">
          <cell r="L804">
            <v>44871</v>
          </cell>
        </row>
        <row r="805">
          <cell r="L805">
            <v>44679</v>
          </cell>
        </row>
        <row r="806">
          <cell r="L806">
            <v>44949</v>
          </cell>
        </row>
        <row r="807">
          <cell r="L807">
            <v>44800</v>
          </cell>
        </row>
        <row r="808">
          <cell r="L808">
            <v>44845</v>
          </cell>
        </row>
        <row r="809">
          <cell r="L809">
            <v>44689</v>
          </cell>
        </row>
        <row r="810">
          <cell r="L810">
            <v>44704</v>
          </cell>
        </row>
        <row r="811">
          <cell r="L811">
            <v>44725</v>
          </cell>
        </row>
        <row r="812">
          <cell r="L812">
            <v>44825</v>
          </cell>
        </row>
        <row r="813">
          <cell r="L813">
            <v>44907</v>
          </cell>
        </row>
        <row r="814">
          <cell r="L814">
            <v>44922</v>
          </cell>
        </row>
        <row r="815">
          <cell r="L815">
            <v>44987</v>
          </cell>
        </row>
        <row r="816">
          <cell r="L816">
            <v>44781</v>
          </cell>
        </row>
        <row r="817">
          <cell r="L817">
            <v>44847</v>
          </cell>
        </row>
        <row r="818">
          <cell r="L818">
            <v>44839</v>
          </cell>
        </row>
        <row r="819">
          <cell r="L819">
            <v>44671</v>
          </cell>
        </row>
        <row r="820">
          <cell r="L820">
            <v>44937</v>
          </cell>
        </row>
        <row r="821">
          <cell r="L821">
            <v>44702</v>
          </cell>
        </row>
        <row r="822">
          <cell r="L822">
            <v>44985</v>
          </cell>
        </row>
        <row r="823">
          <cell r="L823">
            <v>44846</v>
          </cell>
        </row>
        <row r="824">
          <cell r="L824">
            <v>44981</v>
          </cell>
        </row>
        <row r="825">
          <cell r="L825">
            <v>44766</v>
          </cell>
        </row>
        <row r="826">
          <cell r="L826">
            <v>44729</v>
          </cell>
        </row>
        <row r="827">
          <cell r="L827">
            <v>44970</v>
          </cell>
        </row>
        <row r="828">
          <cell r="L828">
            <v>44944</v>
          </cell>
        </row>
        <row r="829">
          <cell r="L829">
            <v>44864</v>
          </cell>
        </row>
        <row r="830">
          <cell r="L830">
            <v>44897</v>
          </cell>
        </row>
        <row r="831">
          <cell r="L831">
            <v>44932</v>
          </cell>
        </row>
        <row r="832">
          <cell r="L832">
            <v>44791</v>
          </cell>
        </row>
        <row r="833">
          <cell r="L833">
            <v>44823</v>
          </cell>
        </row>
        <row r="834">
          <cell r="L834">
            <v>44893</v>
          </cell>
        </row>
        <row r="835">
          <cell r="L835">
            <v>44774</v>
          </cell>
        </row>
        <row r="836">
          <cell r="L836">
            <v>44718</v>
          </cell>
        </row>
        <row r="837">
          <cell r="L837">
            <v>44805</v>
          </cell>
        </row>
        <row r="838">
          <cell r="L838">
            <v>44706</v>
          </cell>
        </row>
        <row r="839">
          <cell r="L839">
            <v>44831</v>
          </cell>
        </row>
        <row r="840">
          <cell r="L840">
            <v>44804</v>
          </cell>
        </row>
        <row r="841">
          <cell r="L841">
            <v>44700</v>
          </cell>
        </row>
        <row r="842">
          <cell r="L842">
            <v>44773</v>
          </cell>
        </row>
        <row r="843">
          <cell r="L843">
            <v>44689</v>
          </cell>
        </row>
        <row r="844">
          <cell r="L844">
            <v>44975</v>
          </cell>
        </row>
        <row r="845">
          <cell r="L845">
            <v>44960</v>
          </cell>
        </row>
        <row r="846">
          <cell r="L846">
            <v>44706</v>
          </cell>
        </row>
        <row r="847">
          <cell r="L847">
            <v>44746</v>
          </cell>
        </row>
        <row r="848">
          <cell r="L848">
            <v>44685</v>
          </cell>
        </row>
        <row r="849">
          <cell r="L849">
            <v>44743</v>
          </cell>
        </row>
        <row r="850">
          <cell r="L850">
            <v>44671</v>
          </cell>
        </row>
        <row r="851">
          <cell r="L851">
            <v>44787</v>
          </cell>
        </row>
        <row r="852">
          <cell r="L852">
            <v>44875</v>
          </cell>
        </row>
        <row r="853">
          <cell r="L853">
            <v>44868</v>
          </cell>
        </row>
        <row r="854">
          <cell r="L854">
            <v>44793</v>
          </cell>
        </row>
        <row r="855">
          <cell r="L855">
            <v>44954</v>
          </cell>
        </row>
        <row r="856">
          <cell r="L856">
            <v>44686</v>
          </cell>
        </row>
        <row r="857">
          <cell r="L857">
            <v>44974</v>
          </cell>
        </row>
        <row r="858">
          <cell r="L858">
            <v>44848</v>
          </cell>
        </row>
        <row r="859">
          <cell r="L859">
            <v>44857</v>
          </cell>
        </row>
        <row r="860">
          <cell r="L860">
            <v>44685</v>
          </cell>
        </row>
        <row r="861">
          <cell r="L861">
            <v>44873</v>
          </cell>
        </row>
        <row r="862">
          <cell r="L862">
            <v>44887</v>
          </cell>
        </row>
        <row r="863">
          <cell r="L863">
            <v>44842</v>
          </cell>
        </row>
        <row r="864">
          <cell r="L864">
            <v>44758</v>
          </cell>
        </row>
        <row r="865">
          <cell r="L865">
            <v>44950</v>
          </cell>
        </row>
        <row r="866">
          <cell r="L866">
            <v>44995</v>
          </cell>
        </row>
        <row r="867">
          <cell r="L867">
            <v>44812</v>
          </cell>
        </row>
        <row r="868">
          <cell r="L868">
            <v>44793</v>
          </cell>
        </row>
        <row r="869">
          <cell r="L869">
            <v>44949</v>
          </cell>
        </row>
        <row r="870">
          <cell r="L870">
            <v>44786</v>
          </cell>
        </row>
        <row r="871">
          <cell r="L871">
            <v>44952</v>
          </cell>
        </row>
        <row r="872">
          <cell r="L872">
            <v>44790</v>
          </cell>
        </row>
        <row r="873">
          <cell r="L873">
            <v>44738</v>
          </cell>
        </row>
        <row r="874">
          <cell r="L874">
            <v>44865</v>
          </cell>
        </row>
        <row r="875">
          <cell r="L875">
            <v>44902</v>
          </cell>
        </row>
        <row r="876">
          <cell r="L876">
            <v>44756</v>
          </cell>
        </row>
        <row r="877">
          <cell r="L877">
            <v>44690</v>
          </cell>
        </row>
        <row r="878">
          <cell r="L878">
            <v>44690</v>
          </cell>
        </row>
        <row r="879">
          <cell r="L879">
            <v>44778</v>
          </cell>
        </row>
        <row r="880">
          <cell r="L880">
            <v>44722</v>
          </cell>
        </row>
        <row r="881">
          <cell r="L881">
            <v>44861</v>
          </cell>
        </row>
        <row r="882">
          <cell r="L882">
            <v>44785</v>
          </cell>
        </row>
        <row r="883">
          <cell r="L883">
            <v>44871</v>
          </cell>
        </row>
        <row r="884">
          <cell r="L884">
            <v>44737</v>
          </cell>
        </row>
        <row r="885">
          <cell r="L885">
            <v>44706</v>
          </cell>
        </row>
        <row r="886">
          <cell r="L886">
            <v>44674</v>
          </cell>
        </row>
        <row r="887">
          <cell r="L887">
            <v>44797</v>
          </cell>
        </row>
        <row r="888">
          <cell r="L888">
            <v>44986</v>
          </cell>
        </row>
        <row r="889">
          <cell r="L889">
            <v>44850</v>
          </cell>
        </row>
        <row r="890">
          <cell r="L890">
            <v>44763</v>
          </cell>
        </row>
        <row r="891">
          <cell r="L891">
            <v>44858</v>
          </cell>
        </row>
        <row r="892">
          <cell r="L892">
            <v>44809</v>
          </cell>
        </row>
        <row r="893">
          <cell r="L893">
            <v>44663</v>
          </cell>
        </row>
        <row r="894">
          <cell r="L894">
            <v>44988</v>
          </cell>
        </row>
        <row r="895">
          <cell r="L895">
            <v>44922</v>
          </cell>
        </row>
        <row r="896">
          <cell r="L896">
            <v>44756</v>
          </cell>
        </row>
        <row r="897">
          <cell r="L897">
            <v>44755</v>
          </cell>
        </row>
        <row r="898">
          <cell r="L898">
            <v>45004</v>
          </cell>
        </row>
        <row r="899">
          <cell r="L899">
            <v>44929</v>
          </cell>
        </row>
        <row r="900">
          <cell r="L900">
            <v>44864</v>
          </cell>
        </row>
        <row r="901">
          <cell r="L901">
            <v>44795</v>
          </cell>
        </row>
        <row r="902">
          <cell r="L902">
            <v>44987</v>
          </cell>
        </row>
        <row r="903">
          <cell r="L903">
            <v>44950</v>
          </cell>
        </row>
        <row r="904">
          <cell r="L904">
            <v>44902</v>
          </cell>
        </row>
        <row r="905">
          <cell r="L905">
            <v>44919</v>
          </cell>
        </row>
        <row r="906">
          <cell r="L906">
            <v>44888</v>
          </cell>
        </row>
        <row r="907">
          <cell r="L907">
            <v>44927</v>
          </cell>
        </row>
        <row r="908">
          <cell r="L908">
            <v>44997</v>
          </cell>
        </row>
        <row r="909">
          <cell r="L909">
            <v>44908</v>
          </cell>
        </row>
        <row r="910">
          <cell r="L910">
            <v>44655</v>
          </cell>
        </row>
        <row r="911">
          <cell r="L911">
            <v>44853</v>
          </cell>
        </row>
        <row r="912">
          <cell r="L912">
            <v>44991</v>
          </cell>
        </row>
        <row r="913">
          <cell r="L913">
            <v>44978</v>
          </cell>
        </row>
        <row r="914">
          <cell r="L914">
            <v>44843</v>
          </cell>
        </row>
        <row r="915">
          <cell r="L915">
            <v>44660</v>
          </cell>
        </row>
        <row r="916">
          <cell r="L916">
            <v>44821</v>
          </cell>
        </row>
        <row r="917">
          <cell r="L917">
            <v>44972</v>
          </cell>
        </row>
        <row r="918">
          <cell r="L918">
            <v>44986</v>
          </cell>
        </row>
        <row r="919">
          <cell r="L919">
            <v>44841</v>
          </cell>
        </row>
        <row r="920">
          <cell r="L920">
            <v>44882</v>
          </cell>
        </row>
        <row r="921">
          <cell r="L921">
            <v>44696</v>
          </cell>
        </row>
        <row r="922">
          <cell r="L922">
            <v>44877</v>
          </cell>
        </row>
        <row r="923">
          <cell r="L923">
            <v>44929</v>
          </cell>
        </row>
        <row r="924">
          <cell r="L924">
            <v>44754</v>
          </cell>
        </row>
        <row r="925">
          <cell r="L925">
            <v>44825</v>
          </cell>
        </row>
        <row r="926">
          <cell r="L926">
            <v>44725</v>
          </cell>
        </row>
        <row r="927">
          <cell r="L927">
            <v>44711</v>
          </cell>
        </row>
        <row r="928">
          <cell r="L928">
            <v>44912</v>
          </cell>
        </row>
        <row r="929">
          <cell r="L929">
            <v>44661</v>
          </cell>
        </row>
        <row r="930">
          <cell r="L930">
            <v>44984</v>
          </cell>
        </row>
        <row r="931">
          <cell r="L931">
            <v>44897</v>
          </cell>
        </row>
        <row r="932">
          <cell r="L932">
            <v>44658</v>
          </cell>
        </row>
        <row r="933">
          <cell r="L933">
            <v>44718</v>
          </cell>
        </row>
        <row r="934">
          <cell r="L934">
            <v>44892</v>
          </cell>
        </row>
        <row r="935">
          <cell r="L935">
            <v>44738</v>
          </cell>
        </row>
        <row r="936">
          <cell r="L936">
            <v>44852</v>
          </cell>
        </row>
        <row r="937">
          <cell r="L937">
            <v>44947</v>
          </cell>
        </row>
        <row r="938">
          <cell r="L938">
            <v>44823</v>
          </cell>
        </row>
        <row r="939">
          <cell r="L939">
            <v>44974</v>
          </cell>
        </row>
        <row r="940">
          <cell r="L940">
            <v>44783</v>
          </cell>
        </row>
        <row r="941">
          <cell r="L941">
            <v>44734</v>
          </cell>
        </row>
        <row r="942">
          <cell r="L942">
            <v>44783</v>
          </cell>
        </row>
        <row r="943">
          <cell r="L943">
            <v>44976</v>
          </cell>
        </row>
        <row r="944">
          <cell r="L944">
            <v>44964</v>
          </cell>
        </row>
        <row r="945">
          <cell r="L945">
            <v>44967</v>
          </cell>
        </row>
        <row r="946">
          <cell r="L946">
            <v>44762</v>
          </cell>
        </row>
        <row r="947">
          <cell r="L947">
            <v>44742</v>
          </cell>
        </row>
        <row r="948">
          <cell r="L948">
            <v>44693</v>
          </cell>
        </row>
        <row r="949">
          <cell r="L949">
            <v>44696</v>
          </cell>
        </row>
        <row r="950">
          <cell r="L950">
            <v>44978</v>
          </cell>
        </row>
        <row r="951">
          <cell r="L951">
            <v>44789</v>
          </cell>
        </row>
        <row r="952">
          <cell r="L952">
            <v>44942</v>
          </cell>
        </row>
        <row r="953">
          <cell r="L953">
            <v>44933</v>
          </cell>
        </row>
        <row r="954">
          <cell r="L954">
            <v>44829</v>
          </cell>
        </row>
        <row r="955">
          <cell r="L955">
            <v>44876</v>
          </cell>
        </row>
        <row r="956">
          <cell r="L956">
            <v>44828</v>
          </cell>
        </row>
        <row r="957">
          <cell r="L957">
            <v>44875</v>
          </cell>
        </row>
        <row r="958">
          <cell r="L958">
            <v>44957</v>
          </cell>
        </row>
        <row r="959">
          <cell r="L959">
            <v>44953</v>
          </cell>
        </row>
        <row r="960">
          <cell r="L960">
            <v>44681</v>
          </cell>
        </row>
        <row r="961">
          <cell r="L961">
            <v>44965</v>
          </cell>
        </row>
        <row r="962">
          <cell r="L962">
            <v>44703</v>
          </cell>
        </row>
        <row r="963">
          <cell r="L963">
            <v>44893</v>
          </cell>
        </row>
        <row r="964">
          <cell r="L964">
            <v>44785</v>
          </cell>
        </row>
        <row r="965">
          <cell r="L965">
            <v>44999</v>
          </cell>
        </row>
        <row r="966">
          <cell r="L966">
            <v>44699</v>
          </cell>
        </row>
        <row r="967">
          <cell r="L967">
            <v>44839</v>
          </cell>
        </row>
        <row r="968">
          <cell r="L968">
            <v>44688</v>
          </cell>
        </row>
        <row r="969">
          <cell r="L969">
            <v>44842</v>
          </cell>
        </row>
        <row r="970">
          <cell r="L970">
            <v>45004</v>
          </cell>
        </row>
        <row r="971">
          <cell r="L971">
            <v>44741</v>
          </cell>
        </row>
        <row r="972">
          <cell r="L972">
            <v>44782</v>
          </cell>
        </row>
        <row r="973">
          <cell r="L973">
            <v>44871</v>
          </cell>
        </row>
        <row r="974">
          <cell r="L974">
            <v>44886</v>
          </cell>
        </row>
        <row r="975">
          <cell r="L975">
            <v>44836</v>
          </cell>
        </row>
        <row r="976">
          <cell r="L976">
            <v>44996</v>
          </cell>
        </row>
        <row r="977">
          <cell r="L977">
            <v>44719</v>
          </cell>
        </row>
        <row r="978">
          <cell r="L978">
            <v>44954</v>
          </cell>
        </row>
        <row r="979">
          <cell r="L979">
            <v>44941</v>
          </cell>
        </row>
        <row r="980">
          <cell r="L980">
            <v>44668</v>
          </cell>
        </row>
        <row r="981">
          <cell r="L981">
            <v>44931</v>
          </cell>
        </row>
        <row r="982">
          <cell r="L982">
            <v>44842</v>
          </cell>
        </row>
        <row r="983">
          <cell r="L983">
            <v>44702</v>
          </cell>
        </row>
        <row r="984">
          <cell r="L984">
            <v>44732</v>
          </cell>
        </row>
        <row r="985">
          <cell r="L985">
            <v>44948</v>
          </cell>
        </row>
        <row r="986">
          <cell r="L986">
            <v>45015</v>
          </cell>
        </row>
        <row r="987">
          <cell r="L987">
            <v>45002</v>
          </cell>
        </row>
        <row r="988">
          <cell r="L988">
            <v>44933</v>
          </cell>
        </row>
        <row r="989">
          <cell r="L989">
            <v>44726</v>
          </cell>
        </row>
        <row r="990">
          <cell r="L990">
            <v>44681</v>
          </cell>
        </row>
        <row r="991">
          <cell r="L991">
            <v>44930</v>
          </cell>
        </row>
        <row r="992">
          <cell r="L992">
            <v>44929</v>
          </cell>
        </row>
        <row r="993">
          <cell r="L993">
            <v>44845</v>
          </cell>
        </row>
        <row r="994">
          <cell r="L994">
            <v>44889</v>
          </cell>
        </row>
        <row r="995">
          <cell r="L995">
            <v>44944</v>
          </cell>
        </row>
        <row r="996">
          <cell r="L996">
            <v>44855</v>
          </cell>
        </row>
        <row r="997">
          <cell r="L997">
            <v>44759</v>
          </cell>
        </row>
        <row r="998">
          <cell r="L998">
            <v>44866</v>
          </cell>
        </row>
        <row r="999">
          <cell r="L999">
            <v>44730</v>
          </cell>
        </row>
        <row r="1000">
          <cell r="L1000">
            <v>45004</v>
          </cell>
        </row>
        <row r="1001">
          <cell r="L1001">
            <v>44824</v>
          </cell>
        </row>
        <row r="1002">
          <cell r="L1002">
            <v>44952</v>
          </cell>
        </row>
        <row r="1003">
          <cell r="L1003">
            <v>44800</v>
          </cell>
        </row>
        <row r="1004">
          <cell r="L1004">
            <v>44710</v>
          </cell>
        </row>
      </sheetData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ra Es Salhi" refreshedDate="46301.672426851852" createdVersion="8" refreshedVersion="8" minRefreshableVersion="3" recordCount="1000" xr:uid="{D755364C-1E80-4829-8A58-A83DCE3E33AA}">
  <cacheSource type="worksheet">
    <worksheetSource ref="B3:K1003" sheet="Datos Limpios"/>
  </cacheSource>
  <cacheFields count="10">
    <cacheField name="order_id" numFmtId="0">
      <sharedItems containsSemiMixedTypes="0" containsString="0" containsNumber="1" containsInteger="1" minValue="1" maxValue="1000"/>
    </cacheField>
    <cacheField name="date" numFmtId="14">
      <sharedItems count="2">
        <s v="2022"/>
        <s v="2023"/>
      </sharedItems>
    </cacheField>
    <cacheField name="item_name" numFmtId="0">
      <sharedItems count="7">
        <s v="Aalopuri"/>
        <s v="Vadapav"/>
        <s v="Sugarcane juice"/>
        <s v="Panipuri"/>
        <s v="Frankie"/>
        <s v="Sandwich"/>
        <s v="Cold coffee"/>
      </sharedItems>
    </cacheField>
    <cacheField name="item_type" numFmtId="0">
      <sharedItems/>
    </cacheField>
    <cacheField name="item_price" numFmtId="0">
      <sharedItems containsSemiMixedTypes="0" containsString="0" containsNumber="1" containsInteger="1" minValue="20" maxValue="60"/>
    </cacheField>
    <cacheField name="quantity" numFmtId="0">
      <sharedItems containsSemiMixedTypes="0" containsString="0" containsNumber="1" containsInteger="1" minValue="1" maxValue="15" count="15">
        <n v="13"/>
        <n v="15"/>
        <n v="1"/>
        <n v="6"/>
        <n v="8"/>
        <n v="10"/>
        <n v="9"/>
        <n v="14"/>
        <n v="5"/>
        <n v="4"/>
        <n v="3"/>
        <n v="11"/>
        <n v="12"/>
        <n v="2"/>
        <n v="7"/>
      </sharedItems>
    </cacheField>
    <cacheField name="transaction_amount" numFmtId="0">
      <sharedItems containsSemiMixedTypes="0" containsString="0" containsNumber="1" containsInteger="1" minValue="20" maxValue="900"/>
    </cacheField>
    <cacheField name="transaction_type" numFmtId="0">
      <sharedItems containsBlank="1" count="3">
        <m/>
        <s v="Cash"/>
        <s v="Online"/>
      </sharedItems>
    </cacheField>
    <cacheField name="received_by" numFmtId="0">
      <sharedItems/>
    </cacheField>
    <cacheField name="time_of_sa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s v="Fastfood"/>
    <n v="20"/>
    <x v="0"/>
    <n v="260"/>
    <x v="0"/>
    <s v="Mr."/>
    <s v="Night"/>
  </r>
  <r>
    <n v="2"/>
    <x v="0"/>
    <x v="1"/>
    <s v="Fastfood"/>
    <n v="20"/>
    <x v="1"/>
    <n v="300"/>
    <x v="1"/>
    <s v="Mr."/>
    <s v="Afternoon"/>
  </r>
  <r>
    <n v="3"/>
    <x v="0"/>
    <x v="1"/>
    <s v="Fastfood"/>
    <n v="20"/>
    <x v="2"/>
    <n v="20"/>
    <x v="1"/>
    <s v="Mr."/>
    <s v="Afternoon"/>
  </r>
  <r>
    <n v="4"/>
    <x v="1"/>
    <x v="2"/>
    <s v="Beverages"/>
    <n v="25"/>
    <x v="3"/>
    <n v="150"/>
    <x v="2"/>
    <s v="Mr."/>
    <s v="Night"/>
  </r>
  <r>
    <n v="5"/>
    <x v="0"/>
    <x v="2"/>
    <s v="Beverages"/>
    <n v="25"/>
    <x v="4"/>
    <n v="200"/>
    <x v="2"/>
    <s v="Mr."/>
    <s v="Evening"/>
  </r>
  <r>
    <n v="6"/>
    <x v="0"/>
    <x v="1"/>
    <s v="Fastfood"/>
    <n v="20"/>
    <x v="5"/>
    <n v="200"/>
    <x v="1"/>
    <s v="Mr."/>
    <s v="Evening"/>
  </r>
  <r>
    <n v="7"/>
    <x v="0"/>
    <x v="2"/>
    <s v="Beverages"/>
    <n v="25"/>
    <x v="6"/>
    <n v="225"/>
    <x v="1"/>
    <s v="Mr."/>
    <s v="Evening"/>
  </r>
  <r>
    <n v="8"/>
    <x v="0"/>
    <x v="3"/>
    <s v="Fastfood"/>
    <n v="20"/>
    <x v="7"/>
    <n v="280"/>
    <x v="2"/>
    <s v="Mr."/>
    <s v="Night"/>
  </r>
  <r>
    <n v="9"/>
    <x v="0"/>
    <x v="3"/>
    <s v="Fastfood"/>
    <n v="20"/>
    <x v="2"/>
    <n v="20"/>
    <x v="1"/>
    <s v="Mrs."/>
    <s v="Morning"/>
  </r>
  <r>
    <n v="10"/>
    <x v="0"/>
    <x v="3"/>
    <s v="Fastfood"/>
    <n v="20"/>
    <x v="8"/>
    <n v="100"/>
    <x v="2"/>
    <s v="Mr."/>
    <s v="Afternoon"/>
  </r>
  <r>
    <n v="11"/>
    <x v="0"/>
    <x v="4"/>
    <s v="Fastfood"/>
    <n v="50"/>
    <x v="4"/>
    <n v="400"/>
    <x v="2"/>
    <s v="Mrs."/>
    <s v="Afternoon"/>
  </r>
  <r>
    <n v="12"/>
    <x v="0"/>
    <x v="1"/>
    <s v="Fastfood"/>
    <n v="20"/>
    <x v="4"/>
    <n v="160"/>
    <x v="2"/>
    <s v="Mrs."/>
    <s v="Night"/>
  </r>
  <r>
    <n v="13"/>
    <x v="0"/>
    <x v="3"/>
    <s v="Fastfood"/>
    <n v="20"/>
    <x v="6"/>
    <n v="180"/>
    <x v="2"/>
    <s v="Mrs."/>
    <s v="Afternoon"/>
  </r>
  <r>
    <n v="14"/>
    <x v="0"/>
    <x v="4"/>
    <s v="Fastfood"/>
    <n v="50"/>
    <x v="9"/>
    <n v="200"/>
    <x v="2"/>
    <s v="Mr."/>
    <s v="Morning"/>
  </r>
  <r>
    <n v="15"/>
    <x v="1"/>
    <x v="0"/>
    <s v="Fastfood"/>
    <n v="20"/>
    <x v="10"/>
    <n v="60"/>
    <x v="1"/>
    <s v="Mrs."/>
    <s v="Evening"/>
  </r>
  <r>
    <n v="16"/>
    <x v="0"/>
    <x v="5"/>
    <s v="Fastfood"/>
    <n v="60"/>
    <x v="11"/>
    <n v="660"/>
    <x v="0"/>
    <s v="Mrs."/>
    <s v="Midnight"/>
  </r>
  <r>
    <n v="17"/>
    <x v="0"/>
    <x v="3"/>
    <s v="Fastfood"/>
    <n v="20"/>
    <x v="11"/>
    <n v="220"/>
    <x v="1"/>
    <s v="Mrs."/>
    <s v="Morning"/>
  </r>
  <r>
    <n v="18"/>
    <x v="0"/>
    <x v="3"/>
    <s v="Fastfood"/>
    <n v="20"/>
    <x v="5"/>
    <n v="200"/>
    <x v="1"/>
    <s v="Mrs."/>
    <s v="Night"/>
  </r>
  <r>
    <n v="19"/>
    <x v="0"/>
    <x v="3"/>
    <s v="Fastfood"/>
    <n v="20"/>
    <x v="11"/>
    <n v="220"/>
    <x v="1"/>
    <s v="Mrs."/>
    <s v="Night"/>
  </r>
  <r>
    <n v="20"/>
    <x v="0"/>
    <x v="6"/>
    <s v="Beverages"/>
    <n v="40"/>
    <x v="5"/>
    <n v="400"/>
    <x v="2"/>
    <s v="Mr."/>
    <s v="Night"/>
  </r>
  <r>
    <n v="21"/>
    <x v="0"/>
    <x v="6"/>
    <s v="Beverages"/>
    <n v="40"/>
    <x v="1"/>
    <n v="600"/>
    <x v="1"/>
    <s v="Mr."/>
    <s v="Evening"/>
  </r>
  <r>
    <n v="22"/>
    <x v="0"/>
    <x v="2"/>
    <s v="Beverages"/>
    <n v="25"/>
    <x v="12"/>
    <n v="300"/>
    <x v="2"/>
    <s v="Mr."/>
    <s v="Evening"/>
  </r>
  <r>
    <n v="23"/>
    <x v="0"/>
    <x v="5"/>
    <s v="Fastfood"/>
    <n v="60"/>
    <x v="10"/>
    <n v="180"/>
    <x v="2"/>
    <s v="Mr."/>
    <s v="Midnight"/>
  </r>
  <r>
    <n v="24"/>
    <x v="1"/>
    <x v="2"/>
    <s v="Beverages"/>
    <n v="25"/>
    <x v="5"/>
    <n v="250"/>
    <x v="2"/>
    <s v="Mr."/>
    <s v="Afternoon"/>
  </r>
  <r>
    <n v="25"/>
    <x v="0"/>
    <x v="5"/>
    <s v="Fastfood"/>
    <n v="60"/>
    <x v="2"/>
    <n v="60"/>
    <x v="2"/>
    <s v="Mrs."/>
    <s v="Evening"/>
  </r>
  <r>
    <n v="26"/>
    <x v="0"/>
    <x v="2"/>
    <s v="Beverages"/>
    <n v="25"/>
    <x v="9"/>
    <n v="100"/>
    <x v="1"/>
    <s v="Mr."/>
    <s v="Afternoon"/>
  </r>
  <r>
    <n v="27"/>
    <x v="0"/>
    <x v="6"/>
    <s v="Beverages"/>
    <n v="40"/>
    <x v="11"/>
    <n v="440"/>
    <x v="2"/>
    <s v="Mrs."/>
    <s v="Afternoon"/>
  </r>
  <r>
    <n v="28"/>
    <x v="1"/>
    <x v="6"/>
    <s v="Beverages"/>
    <n v="40"/>
    <x v="5"/>
    <n v="400"/>
    <x v="2"/>
    <s v="Mrs."/>
    <s v="Afternoon"/>
  </r>
  <r>
    <n v="29"/>
    <x v="1"/>
    <x v="2"/>
    <s v="Beverages"/>
    <n v="25"/>
    <x v="6"/>
    <n v="225"/>
    <x v="2"/>
    <s v="Mr."/>
    <s v="Afternoon"/>
  </r>
  <r>
    <n v="30"/>
    <x v="1"/>
    <x v="4"/>
    <s v="Fastfood"/>
    <n v="50"/>
    <x v="13"/>
    <n v="100"/>
    <x v="1"/>
    <s v="Mrs."/>
    <s v="Night"/>
  </r>
  <r>
    <n v="31"/>
    <x v="0"/>
    <x v="6"/>
    <s v="Beverages"/>
    <n v="40"/>
    <x v="0"/>
    <n v="520"/>
    <x v="2"/>
    <s v="Mrs."/>
    <s v="Evening"/>
  </r>
  <r>
    <n v="32"/>
    <x v="0"/>
    <x v="0"/>
    <s v="Fastfood"/>
    <n v="20"/>
    <x v="9"/>
    <n v="80"/>
    <x v="0"/>
    <s v="Mr."/>
    <s v="Morning"/>
  </r>
  <r>
    <n v="33"/>
    <x v="1"/>
    <x v="0"/>
    <s v="Fastfood"/>
    <n v="20"/>
    <x v="0"/>
    <n v="260"/>
    <x v="2"/>
    <s v="Mr."/>
    <s v="Night"/>
  </r>
  <r>
    <n v="34"/>
    <x v="1"/>
    <x v="4"/>
    <s v="Fastfood"/>
    <n v="50"/>
    <x v="12"/>
    <n v="600"/>
    <x v="2"/>
    <s v="Mrs."/>
    <s v="Evening"/>
  </r>
  <r>
    <n v="35"/>
    <x v="0"/>
    <x v="1"/>
    <s v="Fastfood"/>
    <n v="20"/>
    <x v="4"/>
    <n v="160"/>
    <x v="1"/>
    <s v="Mr."/>
    <s v="Morning"/>
  </r>
  <r>
    <n v="36"/>
    <x v="0"/>
    <x v="6"/>
    <s v="Beverages"/>
    <n v="40"/>
    <x v="5"/>
    <n v="400"/>
    <x v="2"/>
    <s v="Mr."/>
    <s v="Afternoon"/>
  </r>
  <r>
    <n v="37"/>
    <x v="1"/>
    <x v="4"/>
    <s v="Fastfood"/>
    <n v="50"/>
    <x v="5"/>
    <n v="500"/>
    <x v="1"/>
    <s v="Mr."/>
    <s v="Night"/>
  </r>
  <r>
    <n v="38"/>
    <x v="1"/>
    <x v="3"/>
    <s v="Fastfood"/>
    <n v="20"/>
    <x v="12"/>
    <n v="240"/>
    <x v="2"/>
    <s v="Mrs."/>
    <s v="Night"/>
  </r>
  <r>
    <n v="39"/>
    <x v="0"/>
    <x v="1"/>
    <s v="Fastfood"/>
    <n v="20"/>
    <x v="13"/>
    <n v="40"/>
    <x v="2"/>
    <s v="Mr."/>
    <s v="Evening"/>
  </r>
  <r>
    <n v="40"/>
    <x v="1"/>
    <x v="5"/>
    <s v="Fastfood"/>
    <n v="60"/>
    <x v="8"/>
    <n v="300"/>
    <x v="2"/>
    <s v="Mrs."/>
    <s v="Night"/>
  </r>
  <r>
    <n v="41"/>
    <x v="0"/>
    <x v="6"/>
    <s v="Beverages"/>
    <n v="40"/>
    <x v="11"/>
    <n v="440"/>
    <x v="0"/>
    <s v="Mr."/>
    <s v="Afternoon"/>
  </r>
  <r>
    <n v="42"/>
    <x v="0"/>
    <x v="0"/>
    <s v="Fastfood"/>
    <n v="20"/>
    <x v="4"/>
    <n v="160"/>
    <x v="2"/>
    <s v="Mrs."/>
    <s v="Night"/>
  </r>
  <r>
    <n v="43"/>
    <x v="0"/>
    <x v="1"/>
    <s v="Fastfood"/>
    <n v="20"/>
    <x v="2"/>
    <n v="20"/>
    <x v="1"/>
    <s v="Mr."/>
    <s v="Night"/>
  </r>
  <r>
    <n v="44"/>
    <x v="0"/>
    <x v="6"/>
    <s v="Beverages"/>
    <n v="40"/>
    <x v="12"/>
    <n v="480"/>
    <x v="1"/>
    <s v="Mr."/>
    <s v="Evening"/>
  </r>
  <r>
    <n v="45"/>
    <x v="0"/>
    <x v="2"/>
    <s v="Beverages"/>
    <n v="25"/>
    <x v="3"/>
    <n v="150"/>
    <x v="1"/>
    <s v="Mrs."/>
    <s v="Afternoon"/>
  </r>
  <r>
    <n v="46"/>
    <x v="0"/>
    <x v="1"/>
    <s v="Fastfood"/>
    <n v="20"/>
    <x v="14"/>
    <n v="140"/>
    <x v="1"/>
    <s v="Mr."/>
    <s v="Evening"/>
  </r>
  <r>
    <n v="47"/>
    <x v="0"/>
    <x v="5"/>
    <s v="Fastfood"/>
    <n v="60"/>
    <x v="14"/>
    <n v="420"/>
    <x v="0"/>
    <s v="Mr."/>
    <s v="Morning"/>
  </r>
  <r>
    <n v="48"/>
    <x v="1"/>
    <x v="5"/>
    <s v="Fastfood"/>
    <n v="60"/>
    <x v="7"/>
    <n v="840"/>
    <x v="2"/>
    <s v="Mr."/>
    <s v="Afternoon"/>
  </r>
  <r>
    <n v="49"/>
    <x v="0"/>
    <x v="4"/>
    <s v="Fastfood"/>
    <n v="50"/>
    <x v="9"/>
    <n v="200"/>
    <x v="2"/>
    <s v="Mrs."/>
    <s v="Morning"/>
  </r>
  <r>
    <n v="50"/>
    <x v="0"/>
    <x v="1"/>
    <s v="Fastfood"/>
    <n v="20"/>
    <x v="4"/>
    <n v="160"/>
    <x v="1"/>
    <s v="Mrs."/>
    <s v="Midnight"/>
  </r>
  <r>
    <n v="51"/>
    <x v="0"/>
    <x v="4"/>
    <s v="Fastfood"/>
    <n v="50"/>
    <x v="1"/>
    <n v="750"/>
    <x v="2"/>
    <s v="Mrs."/>
    <s v="Morning"/>
  </r>
  <r>
    <n v="52"/>
    <x v="1"/>
    <x v="2"/>
    <s v="Beverages"/>
    <n v="25"/>
    <x v="12"/>
    <n v="300"/>
    <x v="1"/>
    <s v="Mrs."/>
    <s v="Midnight"/>
  </r>
  <r>
    <n v="53"/>
    <x v="0"/>
    <x v="0"/>
    <s v="Fastfood"/>
    <n v="20"/>
    <x v="0"/>
    <n v="260"/>
    <x v="1"/>
    <s v="Mr."/>
    <s v="Afternoon"/>
  </r>
  <r>
    <n v="54"/>
    <x v="0"/>
    <x v="3"/>
    <s v="Fastfood"/>
    <n v="20"/>
    <x v="7"/>
    <n v="280"/>
    <x v="2"/>
    <s v="Mrs."/>
    <s v="Morning"/>
  </r>
  <r>
    <n v="55"/>
    <x v="0"/>
    <x v="5"/>
    <s v="Fastfood"/>
    <n v="60"/>
    <x v="5"/>
    <n v="600"/>
    <x v="1"/>
    <s v="Mr."/>
    <s v="Night"/>
  </r>
  <r>
    <n v="56"/>
    <x v="0"/>
    <x v="3"/>
    <s v="Fastfood"/>
    <n v="20"/>
    <x v="11"/>
    <n v="220"/>
    <x v="1"/>
    <s v="Mrs."/>
    <s v="Midnight"/>
  </r>
  <r>
    <n v="57"/>
    <x v="0"/>
    <x v="3"/>
    <s v="Fastfood"/>
    <n v="20"/>
    <x v="7"/>
    <n v="280"/>
    <x v="2"/>
    <s v="Mrs."/>
    <s v="Morning"/>
  </r>
  <r>
    <n v="58"/>
    <x v="1"/>
    <x v="1"/>
    <s v="Fastfood"/>
    <n v="20"/>
    <x v="3"/>
    <n v="120"/>
    <x v="2"/>
    <s v="Mrs."/>
    <s v="Morning"/>
  </r>
  <r>
    <n v="59"/>
    <x v="0"/>
    <x v="1"/>
    <s v="Fastfood"/>
    <n v="20"/>
    <x v="8"/>
    <n v="100"/>
    <x v="1"/>
    <s v="Mr."/>
    <s v="Morning"/>
  </r>
  <r>
    <n v="60"/>
    <x v="0"/>
    <x v="6"/>
    <s v="Beverages"/>
    <n v="40"/>
    <x v="13"/>
    <n v="80"/>
    <x v="2"/>
    <s v="Mr."/>
    <s v="Night"/>
  </r>
  <r>
    <n v="61"/>
    <x v="0"/>
    <x v="1"/>
    <s v="Fastfood"/>
    <n v="20"/>
    <x v="7"/>
    <n v="280"/>
    <x v="1"/>
    <s v="Mrs."/>
    <s v="Afternoon"/>
  </r>
  <r>
    <n v="62"/>
    <x v="0"/>
    <x v="2"/>
    <s v="Beverages"/>
    <n v="25"/>
    <x v="10"/>
    <n v="75"/>
    <x v="1"/>
    <s v="Mr."/>
    <s v="Afternoon"/>
  </r>
  <r>
    <n v="63"/>
    <x v="0"/>
    <x v="5"/>
    <s v="Fastfood"/>
    <n v="60"/>
    <x v="14"/>
    <n v="420"/>
    <x v="2"/>
    <s v="Mrs."/>
    <s v="Morning"/>
  </r>
  <r>
    <n v="64"/>
    <x v="0"/>
    <x v="6"/>
    <s v="Beverages"/>
    <n v="40"/>
    <x v="2"/>
    <n v="40"/>
    <x v="1"/>
    <s v="Mr."/>
    <s v="Morning"/>
  </r>
  <r>
    <n v="65"/>
    <x v="0"/>
    <x v="0"/>
    <s v="Fastfood"/>
    <n v="20"/>
    <x v="9"/>
    <n v="80"/>
    <x v="1"/>
    <s v="Mr."/>
    <s v="Morning"/>
  </r>
  <r>
    <n v="66"/>
    <x v="0"/>
    <x v="4"/>
    <s v="Fastfood"/>
    <n v="50"/>
    <x v="13"/>
    <n v="100"/>
    <x v="1"/>
    <s v="Mrs."/>
    <s v="Morning"/>
  </r>
  <r>
    <n v="67"/>
    <x v="0"/>
    <x v="0"/>
    <s v="Fastfood"/>
    <n v="20"/>
    <x v="6"/>
    <n v="180"/>
    <x v="1"/>
    <s v="Mr."/>
    <s v="Midnight"/>
  </r>
  <r>
    <n v="68"/>
    <x v="0"/>
    <x v="6"/>
    <s v="Beverages"/>
    <n v="40"/>
    <x v="13"/>
    <n v="80"/>
    <x v="0"/>
    <s v="Mr."/>
    <s v="Night"/>
  </r>
  <r>
    <n v="69"/>
    <x v="1"/>
    <x v="1"/>
    <s v="Fastfood"/>
    <n v="20"/>
    <x v="14"/>
    <n v="140"/>
    <x v="1"/>
    <s v="Mr."/>
    <s v="Midnight"/>
  </r>
  <r>
    <n v="70"/>
    <x v="0"/>
    <x v="6"/>
    <s v="Beverages"/>
    <n v="40"/>
    <x v="7"/>
    <n v="560"/>
    <x v="0"/>
    <s v="Mrs."/>
    <s v="Morning"/>
  </r>
  <r>
    <n v="71"/>
    <x v="0"/>
    <x v="6"/>
    <s v="Beverages"/>
    <n v="40"/>
    <x v="3"/>
    <n v="240"/>
    <x v="2"/>
    <s v="Mr."/>
    <s v="Night"/>
  </r>
  <r>
    <n v="72"/>
    <x v="1"/>
    <x v="4"/>
    <s v="Fastfood"/>
    <n v="50"/>
    <x v="0"/>
    <n v="650"/>
    <x v="2"/>
    <s v="Mr."/>
    <s v="Afternoon"/>
  </r>
  <r>
    <n v="73"/>
    <x v="0"/>
    <x v="3"/>
    <s v="Fastfood"/>
    <n v="20"/>
    <x v="8"/>
    <n v="100"/>
    <x v="1"/>
    <s v="Mr."/>
    <s v="Midnight"/>
  </r>
  <r>
    <n v="74"/>
    <x v="0"/>
    <x v="6"/>
    <s v="Beverages"/>
    <n v="40"/>
    <x v="5"/>
    <n v="400"/>
    <x v="2"/>
    <s v="Mrs."/>
    <s v="Evening"/>
  </r>
  <r>
    <n v="75"/>
    <x v="1"/>
    <x v="6"/>
    <s v="Beverages"/>
    <n v="40"/>
    <x v="3"/>
    <n v="240"/>
    <x v="2"/>
    <s v="Mrs."/>
    <s v="Afternoon"/>
  </r>
  <r>
    <n v="76"/>
    <x v="0"/>
    <x v="1"/>
    <s v="Fastfood"/>
    <n v="20"/>
    <x v="6"/>
    <n v="180"/>
    <x v="2"/>
    <s v="Mr."/>
    <s v="Morning"/>
  </r>
  <r>
    <n v="77"/>
    <x v="1"/>
    <x v="2"/>
    <s v="Beverages"/>
    <n v="25"/>
    <x v="12"/>
    <n v="300"/>
    <x v="1"/>
    <s v="Mrs."/>
    <s v="Midnight"/>
  </r>
  <r>
    <n v="78"/>
    <x v="0"/>
    <x v="1"/>
    <s v="Fastfood"/>
    <n v="20"/>
    <x v="9"/>
    <n v="80"/>
    <x v="1"/>
    <s v="Mrs."/>
    <s v="Evening"/>
  </r>
  <r>
    <n v="79"/>
    <x v="0"/>
    <x v="3"/>
    <s v="Fastfood"/>
    <n v="20"/>
    <x v="3"/>
    <n v="120"/>
    <x v="2"/>
    <s v="Mr."/>
    <s v="Night"/>
  </r>
  <r>
    <n v="80"/>
    <x v="0"/>
    <x v="4"/>
    <s v="Fastfood"/>
    <n v="50"/>
    <x v="0"/>
    <n v="650"/>
    <x v="1"/>
    <s v="Mr."/>
    <s v="Evening"/>
  </r>
  <r>
    <n v="81"/>
    <x v="0"/>
    <x v="4"/>
    <s v="Fastfood"/>
    <n v="50"/>
    <x v="12"/>
    <n v="600"/>
    <x v="2"/>
    <s v="Mrs."/>
    <s v="Night"/>
  </r>
  <r>
    <n v="82"/>
    <x v="0"/>
    <x v="4"/>
    <s v="Fastfood"/>
    <n v="50"/>
    <x v="10"/>
    <n v="150"/>
    <x v="2"/>
    <s v="Mrs."/>
    <s v="Evening"/>
  </r>
  <r>
    <n v="83"/>
    <x v="0"/>
    <x v="4"/>
    <s v="Fastfood"/>
    <n v="50"/>
    <x v="11"/>
    <n v="550"/>
    <x v="0"/>
    <s v="Mr."/>
    <s v="Evening"/>
  </r>
  <r>
    <n v="84"/>
    <x v="1"/>
    <x v="3"/>
    <s v="Fastfood"/>
    <n v="20"/>
    <x v="0"/>
    <n v="260"/>
    <x v="1"/>
    <s v="Mr."/>
    <s v="Midnight"/>
  </r>
  <r>
    <n v="85"/>
    <x v="0"/>
    <x v="0"/>
    <s v="Fastfood"/>
    <n v="20"/>
    <x v="10"/>
    <n v="60"/>
    <x v="2"/>
    <s v="Mrs."/>
    <s v="Night"/>
  </r>
  <r>
    <n v="86"/>
    <x v="1"/>
    <x v="0"/>
    <s v="Fastfood"/>
    <n v="20"/>
    <x v="1"/>
    <n v="300"/>
    <x v="1"/>
    <s v="Mr."/>
    <s v="Morning"/>
  </r>
  <r>
    <n v="87"/>
    <x v="0"/>
    <x v="0"/>
    <s v="Fastfood"/>
    <n v="20"/>
    <x v="4"/>
    <n v="160"/>
    <x v="1"/>
    <s v="Mr."/>
    <s v="Night"/>
  </r>
  <r>
    <n v="88"/>
    <x v="0"/>
    <x v="6"/>
    <s v="Beverages"/>
    <n v="40"/>
    <x v="5"/>
    <n v="400"/>
    <x v="1"/>
    <s v="Mr."/>
    <s v="Evening"/>
  </r>
  <r>
    <n v="89"/>
    <x v="0"/>
    <x v="0"/>
    <s v="Fastfood"/>
    <n v="20"/>
    <x v="7"/>
    <n v="280"/>
    <x v="1"/>
    <s v="Mr."/>
    <s v="Evening"/>
  </r>
  <r>
    <n v="90"/>
    <x v="0"/>
    <x v="1"/>
    <s v="Fastfood"/>
    <n v="20"/>
    <x v="1"/>
    <n v="300"/>
    <x v="2"/>
    <s v="Mr."/>
    <s v="Night"/>
  </r>
  <r>
    <n v="91"/>
    <x v="1"/>
    <x v="6"/>
    <s v="Beverages"/>
    <n v="40"/>
    <x v="3"/>
    <n v="240"/>
    <x v="0"/>
    <s v="Mrs."/>
    <s v="Evening"/>
  </r>
  <r>
    <n v="92"/>
    <x v="0"/>
    <x v="0"/>
    <s v="Fastfood"/>
    <n v="20"/>
    <x v="1"/>
    <n v="300"/>
    <x v="1"/>
    <s v="Mr."/>
    <s v="Afternoon"/>
  </r>
  <r>
    <n v="93"/>
    <x v="0"/>
    <x v="6"/>
    <s v="Beverages"/>
    <n v="40"/>
    <x v="13"/>
    <n v="80"/>
    <x v="2"/>
    <s v="Mrs."/>
    <s v="Midnight"/>
  </r>
  <r>
    <n v="94"/>
    <x v="0"/>
    <x v="0"/>
    <s v="Fastfood"/>
    <n v="20"/>
    <x v="1"/>
    <n v="300"/>
    <x v="0"/>
    <s v="Mrs."/>
    <s v="Night"/>
  </r>
  <r>
    <n v="95"/>
    <x v="0"/>
    <x v="2"/>
    <s v="Beverages"/>
    <n v="25"/>
    <x v="4"/>
    <n v="200"/>
    <x v="2"/>
    <s v="Mr."/>
    <s v="Night"/>
  </r>
  <r>
    <n v="96"/>
    <x v="0"/>
    <x v="5"/>
    <s v="Fastfood"/>
    <n v="60"/>
    <x v="1"/>
    <n v="900"/>
    <x v="0"/>
    <s v="Mr."/>
    <s v="Morning"/>
  </r>
  <r>
    <n v="97"/>
    <x v="1"/>
    <x v="6"/>
    <s v="Beverages"/>
    <n v="40"/>
    <x v="0"/>
    <n v="520"/>
    <x v="2"/>
    <s v="Mr."/>
    <s v="Evening"/>
  </r>
  <r>
    <n v="98"/>
    <x v="0"/>
    <x v="1"/>
    <s v="Fastfood"/>
    <n v="20"/>
    <x v="2"/>
    <n v="20"/>
    <x v="2"/>
    <s v="Mr."/>
    <s v="Morning"/>
  </r>
  <r>
    <n v="99"/>
    <x v="0"/>
    <x v="2"/>
    <s v="Beverages"/>
    <n v="25"/>
    <x v="10"/>
    <n v="75"/>
    <x v="1"/>
    <s v="Mr."/>
    <s v="Evening"/>
  </r>
  <r>
    <n v="100"/>
    <x v="0"/>
    <x v="3"/>
    <s v="Fastfood"/>
    <n v="20"/>
    <x v="11"/>
    <n v="220"/>
    <x v="0"/>
    <s v="Mr."/>
    <s v="Morning"/>
  </r>
  <r>
    <n v="101"/>
    <x v="1"/>
    <x v="1"/>
    <s v="Fastfood"/>
    <n v="20"/>
    <x v="10"/>
    <n v="60"/>
    <x v="2"/>
    <s v="Mrs."/>
    <s v="Morning"/>
  </r>
  <r>
    <n v="102"/>
    <x v="1"/>
    <x v="6"/>
    <s v="Beverages"/>
    <n v="40"/>
    <x v="7"/>
    <n v="560"/>
    <x v="1"/>
    <s v="Mr."/>
    <s v="Morning"/>
  </r>
  <r>
    <n v="103"/>
    <x v="1"/>
    <x v="6"/>
    <s v="Beverages"/>
    <n v="40"/>
    <x v="4"/>
    <n v="320"/>
    <x v="2"/>
    <s v="Mrs."/>
    <s v="Midnight"/>
  </r>
  <r>
    <n v="104"/>
    <x v="0"/>
    <x v="6"/>
    <s v="Beverages"/>
    <n v="40"/>
    <x v="0"/>
    <n v="520"/>
    <x v="2"/>
    <s v="Mr."/>
    <s v="Morning"/>
  </r>
  <r>
    <n v="105"/>
    <x v="1"/>
    <x v="3"/>
    <s v="Fastfood"/>
    <n v="20"/>
    <x v="4"/>
    <n v="160"/>
    <x v="1"/>
    <s v="Mrs."/>
    <s v="Evening"/>
  </r>
  <r>
    <n v="106"/>
    <x v="1"/>
    <x v="4"/>
    <s v="Fastfood"/>
    <n v="50"/>
    <x v="6"/>
    <n v="450"/>
    <x v="1"/>
    <s v="Mrs."/>
    <s v="Evening"/>
  </r>
  <r>
    <n v="107"/>
    <x v="1"/>
    <x v="5"/>
    <s v="Fastfood"/>
    <n v="60"/>
    <x v="9"/>
    <n v="240"/>
    <x v="2"/>
    <s v="Mr."/>
    <s v="Afternoon"/>
  </r>
  <r>
    <n v="108"/>
    <x v="0"/>
    <x v="3"/>
    <s v="Fastfood"/>
    <n v="20"/>
    <x v="8"/>
    <n v="100"/>
    <x v="2"/>
    <s v="Mr."/>
    <s v="Afternoon"/>
  </r>
  <r>
    <n v="109"/>
    <x v="0"/>
    <x v="6"/>
    <s v="Beverages"/>
    <n v="40"/>
    <x v="12"/>
    <n v="480"/>
    <x v="0"/>
    <s v="Mr."/>
    <s v="Afternoon"/>
  </r>
  <r>
    <n v="110"/>
    <x v="0"/>
    <x v="3"/>
    <s v="Fastfood"/>
    <n v="20"/>
    <x v="13"/>
    <n v="40"/>
    <x v="2"/>
    <s v="Mrs."/>
    <s v="Morning"/>
  </r>
  <r>
    <n v="111"/>
    <x v="0"/>
    <x v="5"/>
    <s v="Fastfood"/>
    <n v="60"/>
    <x v="4"/>
    <n v="480"/>
    <x v="1"/>
    <s v="Mrs."/>
    <s v="Midnight"/>
  </r>
  <r>
    <n v="112"/>
    <x v="1"/>
    <x v="5"/>
    <s v="Fastfood"/>
    <n v="60"/>
    <x v="14"/>
    <n v="420"/>
    <x v="1"/>
    <s v="Mr."/>
    <s v="Morning"/>
  </r>
  <r>
    <n v="113"/>
    <x v="0"/>
    <x v="0"/>
    <s v="Fastfood"/>
    <n v="20"/>
    <x v="4"/>
    <n v="160"/>
    <x v="1"/>
    <s v="Mr."/>
    <s v="Afternoon"/>
  </r>
  <r>
    <n v="114"/>
    <x v="0"/>
    <x v="0"/>
    <s v="Fastfood"/>
    <n v="20"/>
    <x v="5"/>
    <n v="200"/>
    <x v="2"/>
    <s v="Mr."/>
    <s v="Afternoon"/>
  </r>
  <r>
    <n v="115"/>
    <x v="1"/>
    <x v="0"/>
    <s v="Fastfood"/>
    <n v="20"/>
    <x v="0"/>
    <n v="260"/>
    <x v="0"/>
    <s v="Mr."/>
    <s v="Evening"/>
  </r>
  <r>
    <n v="116"/>
    <x v="0"/>
    <x v="2"/>
    <s v="Beverages"/>
    <n v="25"/>
    <x v="0"/>
    <n v="325"/>
    <x v="1"/>
    <s v="Mr."/>
    <s v="Evening"/>
  </r>
  <r>
    <n v="117"/>
    <x v="1"/>
    <x v="4"/>
    <s v="Fastfood"/>
    <n v="50"/>
    <x v="14"/>
    <n v="350"/>
    <x v="2"/>
    <s v="Mrs."/>
    <s v="Evening"/>
  </r>
  <r>
    <n v="118"/>
    <x v="0"/>
    <x v="5"/>
    <s v="Fastfood"/>
    <n v="60"/>
    <x v="2"/>
    <n v="60"/>
    <x v="2"/>
    <s v="Mr."/>
    <s v="Midnight"/>
  </r>
  <r>
    <n v="119"/>
    <x v="0"/>
    <x v="3"/>
    <s v="Fastfood"/>
    <n v="20"/>
    <x v="5"/>
    <n v="200"/>
    <x v="1"/>
    <s v="Mr."/>
    <s v="Evening"/>
  </r>
  <r>
    <n v="120"/>
    <x v="0"/>
    <x v="4"/>
    <s v="Fastfood"/>
    <n v="50"/>
    <x v="13"/>
    <n v="100"/>
    <x v="1"/>
    <s v="Mrs."/>
    <s v="Evening"/>
  </r>
  <r>
    <n v="121"/>
    <x v="0"/>
    <x v="6"/>
    <s v="Beverages"/>
    <n v="40"/>
    <x v="4"/>
    <n v="320"/>
    <x v="1"/>
    <s v="Mr."/>
    <s v="Afternoon"/>
  </r>
  <r>
    <n v="122"/>
    <x v="0"/>
    <x v="3"/>
    <s v="Fastfood"/>
    <n v="20"/>
    <x v="10"/>
    <n v="60"/>
    <x v="0"/>
    <s v="Mrs."/>
    <s v="Night"/>
  </r>
  <r>
    <n v="123"/>
    <x v="0"/>
    <x v="6"/>
    <s v="Beverages"/>
    <n v="40"/>
    <x v="3"/>
    <n v="240"/>
    <x v="2"/>
    <s v="Mr."/>
    <s v="Evening"/>
  </r>
  <r>
    <n v="124"/>
    <x v="0"/>
    <x v="2"/>
    <s v="Beverages"/>
    <n v="25"/>
    <x v="0"/>
    <n v="325"/>
    <x v="0"/>
    <s v="Mrs."/>
    <s v="Evening"/>
  </r>
  <r>
    <n v="125"/>
    <x v="0"/>
    <x v="1"/>
    <s v="Fastfood"/>
    <n v="20"/>
    <x v="14"/>
    <n v="140"/>
    <x v="1"/>
    <s v="Mrs."/>
    <s v="Midnight"/>
  </r>
  <r>
    <n v="126"/>
    <x v="0"/>
    <x v="3"/>
    <s v="Fastfood"/>
    <n v="20"/>
    <x v="11"/>
    <n v="220"/>
    <x v="2"/>
    <s v="Mrs."/>
    <s v="Night"/>
  </r>
  <r>
    <n v="127"/>
    <x v="0"/>
    <x v="0"/>
    <s v="Fastfood"/>
    <n v="20"/>
    <x v="2"/>
    <n v="20"/>
    <x v="0"/>
    <s v="Mrs."/>
    <s v="Morning"/>
  </r>
  <r>
    <n v="128"/>
    <x v="0"/>
    <x v="1"/>
    <s v="Fastfood"/>
    <n v="20"/>
    <x v="11"/>
    <n v="220"/>
    <x v="2"/>
    <s v="Mr."/>
    <s v="Midnight"/>
  </r>
  <r>
    <n v="129"/>
    <x v="0"/>
    <x v="3"/>
    <s v="Fastfood"/>
    <n v="20"/>
    <x v="0"/>
    <n v="260"/>
    <x v="1"/>
    <s v="Mrs."/>
    <s v="Morning"/>
  </r>
  <r>
    <n v="130"/>
    <x v="0"/>
    <x v="2"/>
    <s v="Beverages"/>
    <n v="25"/>
    <x v="14"/>
    <n v="175"/>
    <x v="1"/>
    <s v="Mr."/>
    <s v="Night"/>
  </r>
  <r>
    <n v="131"/>
    <x v="1"/>
    <x v="5"/>
    <s v="Fastfood"/>
    <n v="60"/>
    <x v="4"/>
    <n v="480"/>
    <x v="1"/>
    <s v="Mr."/>
    <s v="Night"/>
  </r>
  <r>
    <n v="132"/>
    <x v="0"/>
    <x v="1"/>
    <s v="Fastfood"/>
    <n v="20"/>
    <x v="9"/>
    <n v="80"/>
    <x v="2"/>
    <s v="Mrs."/>
    <s v="Night"/>
  </r>
  <r>
    <n v="133"/>
    <x v="0"/>
    <x v="0"/>
    <s v="Fastfood"/>
    <n v="20"/>
    <x v="8"/>
    <n v="100"/>
    <x v="2"/>
    <s v="Mr."/>
    <s v="Midnight"/>
  </r>
  <r>
    <n v="134"/>
    <x v="0"/>
    <x v="0"/>
    <s v="Fastfood"/>
    <n v="20"/>
    <x v="12"/>
    <n v="240"/>
    <x v="2"/>
    <s v="Mrs."/>
    <s v="Night"/>
  </r>
  <r>
    <n v="135"/>
    <x v="1"/>
    <x v="0"/>
    <s v="Fastfood"/>
    <n v="20"/>
    <x v="4"/>
    <n v="160"/>
    <x v="2"/>
    <s v="Mr."/>
    <s v="Midnight"/>
  </r>
  <r>
    <n v="136"/>
    <x v="0"/>
    <x v="0"/>
    <s v="Fastfood"/>
    <n v="20"/>
    <x v="1"/>
    <n v="300"/>
    <x v="2"/>
    <s v="Mr."/>
    <s v="Morning"/>
  </r>
  <r>
    <n v="137"/>
    <x v="1"/>
    <x v="2"/>
    <s v="Beverages"/>
    <n v="25"/>
    <x v="3"/>
    <n v="150"/>
    <x v="0"/>
    <s v="Mr."/>
    <s v="Afternoon"/>
  </r>
  <r>
    <n v="138"/>
    <x v="0"/>
    <x v="5"/>
    <s v="Fastfood"/>
    <n v="60"/>
    <x v="1"/>
    <n v="900"/>
    <x v="2"/>
    <s v="Mr."/>
    <s v="Night"/>
  </r>
  <r>
    <n v="139"/>
    <x v="1"/>
    <x v="4"/>
    <s v="Fastfood"/>
    <n v="50"/>
    <x v="11"/>
    <n v="550"/>
    <x v="2"/>
    <s v="Mrs."/>
    <s v="Night"/>
  </r>
  <r>
    <n v="140"/>
    <x v="0"/>
    <x v="4"/>
    <s v="Fastfood"/>
    <n v="50"/>
    <x v="0"/>
    <n v="650"/>
    <x v="1"/>
    <s v="Mr."/>
    <s v="Night"/>
  </r>
  <r>
    <n v="141"/>
    <x v="0"/>
    <x v="0"/>
    <s v="Fastfood"/>
    <n v="20"/>
    <x v="9"/>
    <n v="80"/>
    <x v="0"/>
    <s v="Mr."/>
    <s v="Evening"/>
  </r>
  <r>
    <n v="142"/>
    <x v="0"/>
    <x v="2"/>
    <s v="Beverages"/>
    <n v="25"/>
    <x v="12"/>
    <n v="300"/>
    <x v="1"/>
    <s v="Mrs."/>
    <s v="Morning"/>
  </r>
  <r>
    <n v="143"/>
    <x v="0"/>
    <x v="4"/>
    <s v="Fastfood"/>
    <n v="50"/>
    <x v="4"/>
    <n v="400"/>
    <x v="0"/>
    <s v="Mrs."/>
    <s v="Afternoon"/>
  </r>
  <r>
    <n v="144"/>
    <x v="0"/>
    <x v="3"/>
    <s v="Fastfood"/>
    <n v="20"/>
    <x v="5"/>
    <n v="200"/>
    <x v="1"/>
    <s v="Mrs."/>
    <s v="Evening"/>
  </r>
  <r>
    <n v="145"/>
    <x v="0"/>
    <x v="5"/>
    <s v="Fastfood"/>
    <n v="60"/>
    <x v="7"/>
    <n v="840"/>
    <x v="2"/>
    <s v="Mr."/>
    <s v="Morning"/>
  </r>
  <r>
    <n v="146"/>
    <x v="0"/>
    <x v="4"/>
    <s v="Fastfood"/>
    <n v="50"/>
    <x v="9"/>
    <n v="200"/>
    <x v="0"/>
    <s v="Mrs."/>
    <s v="Afternoon"/>
  </r>
  <r>
    <n v="147"/>
    <x v="0"/>
    <x v="3"/>
    <s v="Fastfood"/>
    <n v="20"/>
    <x v="14"/>
    <n v="140"/>
    <x v="2"/>
    <s v="Mr."/>
    <s v="Evening"/>
  </r>
  <r>
    <n v="148"/>
    <x v="1"/>
    <x v="5"/>
    <s v="Fastfood"/>
    <n v="60"/>
    <x v="0"/>
    <n v="780"/>
    <x v="2"/>
    <s v="Mr."/>
    <s v="Evening"/>
  </r>
  <r>
    <n v="149"/>
    <x v="0"/>
    <x v="5"/>
    <s v="Fastfood"/>
    <n v="60"/>
    <x v="14"/>
    <n v="420"/>
    <x v="2"/>
    <s v="Mr."/>
    <s v="Morning"/>
  </r>
  <r>
    <n v="150"/>
    <x v="1"/>
    <x v="6"/>
    <s v="Beverages"/>
    <n v="40"/>
    <x v="7"/>
    <n v="560"/>
    <x v="1"/>
    <s v="Mr."/>
    <s v="Afternoon"/>
  </r>
  <r>
    <n v="151"/>
    <x v="0"/>
    <x v="4"/>
    <s v="Fastfood"/>
    <n v="50"/>
    <x v="0"/>
    <n v="650"/>
    <x v="2"/>
    <s v="Mrs."/>
    <s v="Morning"/>
  </r>
  <r>
    <n v="152"/>
    <x v="0"/>
    <x v="6"/>
    <s v="Beverages"/>
    <n v="40"/>
    <x v="6"/>
    <n v="360"/>
    <x v="2"/>
    <s v="Mr."/>
    <s v="Afternoon"/>
  </r>
  <r>
    <n v="153"/>
    <x v="0"/>
    <x v="3"/>
    <s v="Fastfood"/>
    <n v="20"/>
    <x v="2"/>
    <n v="20"/>
    <x v="1"/>
    <s v="Mrs."/>
    <s v="Evening"/>
  </r>
  <r>
    <n v="154"/>
    <x v="0"/>
    <x v="1"/>
    <s v="Fastfood"/>
    <n v="20"/>
    <x v="10"/>
    <n v="60"/>
    <x v="1"/>
    <s v="Mr."/>
    <s v="Night"/>
  </r>
  <r>
    <n v="155"/>
    <x v="1"/>
    <x v="2"/>
    <s v="Beverages"/>
    <n v="25"/>
    <x v="5"/>
    <n v="250"/>
    <x v="1"/>
    <s v="Mrs."/>
    <s v="Evening"/>
  </r>
  <r>
    <n v="156"/>
    <x v="1"/>
    <x v="3"/>
    <s v="Fastfood"/>
    <n v="20"/>
    <x v="7"/>
    <n v="280"/>
    <x v="1"/>
    <s v="Mr."/>
    <s v="Midnight"/>
  </r>
  <r>
    <n v="157"/>
    <x v="1"/>
    <x v="4"/>
    <s v="Fastfood"/>
    <n v="50"/>
    <x v="14"/>
    <n v="350"/>
    <x v="2"/>
    <s v="Mrs."/>
    <s v="Midnight"/>
  </r>
  <r>
    <n v="158"/>
    <x v="0"/>
    <x v="0"/>
    <s v="Fastfood"/>
    <n v="20"/>
    <x v="13"/>
    <n v="40"/>
    <x v="0"/>
    <s v="Mr."/>
    <s v="Midnight"/>
  </r>
  <r>
    <n v="159"/>
    <x v="0"/>
    <x v="2"/>
    <s v="Beverages"/>
    <n v="25"/>
    <x v="2"/>
    <n v="25"/>
    <x v="2"/>
    <s v="Mrs."/>
    <s v="Afternoon"/>
  </r>
  <r>
    <n v="160"/>
    <x v="0"/>
    <x v="1"/>
    <s v="Fastfood"/>
    <n v="20"/>
    <x v="5"/>
    <n v="200"/>
    <x v="2"/>
    <s v="Mr."/>
    <s v="Night"/>
  </r>
  <r>
    <n v="161"/>
    <x v="1"/>
    <x v="2"/>
    <s v="Beverages"/>
    <n v="25"/>
    <x v="12"/>
    <n v="300"/>
    <x v="1"/>
    <s v="Mr."/>
    <s v="Evening"/>
  </r>
  <r>
    <n v="162"/>
    <x v="0"/>
    <x v="0"/>
    <s v="Fastfood"/>
    <n v="20"/>
    <x v="11"/>
    <n v="220"/>
    <x v="1"/>
    <s v="Mr."/>
    <s v="Midnight"/>
  </r>
  <r>
    <n v="163"/>
    <x v="1"/>
    <x v="4"/>
    <s v="Fastfood"/>
    <n v="50"/>
    <x v="3"/>
    <n v="300"/>
    <x v="2"/>
    <s v="Mrs."/>
    <s v="Midnight"/>
  </r>
  <r>
    <n v="164"/>
    <x v="0"/>
    <x v="2"/>
    <s v="Beverages"/>
    <n v="25"/>
    <x v="14"/>
    <n v="175"/>
    <x v="2"/>
    <s v="Mr."/>
    <s v="Afternoon"/>
  </r>
  <r>
    <n v="165"/>
    <x v="1"/>
    <x v="5"/>
    <s v="Fastfood"/>
    <n v="60"/>
    <x v="11"/>
    <n v="660"/>
    <x v="1"/>
    <s v="Mr."/>
    <s v="Midnight"/>
  </r>
  <r>
    <n v="166"/>
    <x v="0"/>
    <x v="3"/>
    <s v="Fastfood"/>
    <n v="20"/>
    <x v="3"/>
    <n v="120"/>
    <x v="1"/>
    <s v="Mrs."/>
    <s v="Evening"/>
  </r>
  <r>
    <n v="167"/>
    <x v="1"/>
    <x v="6"/>
    <s v="Beverages"/>
    <n v="40"/>
    <x v="3"/>
    <n v="240"/>
    <x v="1"/>
    <s v="Mrs."/>
    <s v="Morning"/>
  </r>
  <r>
    <n v="168"/>
    <x v="0"/>
    <x v="5"/>
    <s v="Fastfood"/>
    <n v="60"/>
    <x v="9"/>
    <n v="240"/>
    <x v="1"/>
    <s v="Mrs."/>
    <s v="Midnight"/>
  </r>
  <r>
    <n v="169"/>
    <x v="0"/>
    <x v="1"/>
    <s v="Fastfood"/>
    <n v="20"/>
    <x v="3"/>
    <n v="120"/>
    <x v="1"/>
    <s v="Mr."/>
    <s v="Morning"/>
  </r>
  <r>
    <n v="170"/>
    <x v="1"/>
    <x v="0"/>
    <s v="Fastfood"/>
    <n v="20"/>
    <x v="3"/>
    <n v="120"/>
    <x v="0"/>
    <s v="Mrs."/>
    <s v="Afternoon"/>
  </r>
  <r>
    <n v="171"/>
    <x v="1"/>
    <x v="1"/>
    <s v="Fastfood"/>
    <n v="20"/>
    <x v="11"/>
    <n v="220"/>
    <x v="1"/>
    <s v="Mrs."/>
    <s v="Midnight"/>
  </r>
  <r>
    <n v="172"/>
    <x v="0"/>
    <x v="2"/>
    <s v="Beverages"/>
    <n v="25"/>
    <x v="3"/>
    <n v="150"/>
    <x v="2"/>
    <s v="Mrs."/>
    <s v="Night"/>
  </r>
  <r>
    <n v="173"/>
    <x v="1"/>
    <x v="6"/>
    <s v="Beverages"/>
    <n v="40"/>
    <x v="13"/>
    <n v="80"/>
    <x v="2"/>
    <s v="Mr."/>
    <s v="Night"/>
  </r>
  <r>
    <n v="174"/>
    <x v="0"/>
    <x v="0"/>
    <s v="Fastfood"/>
    <n v="20"/>
    <x v="13"/>
    <n v="40"/>
    <x v="2"/>
    <s v="Mr."/>
    <s v="Evening"/>
  </r>
  <r>
    <n v="175"/>
    <x v="0"/>
    <x v="4"/>
    <s v="Fastfood"/>
    <n v="50"/>
    <x v="12"/>
    <n v="600"/>
    <x v="1"/>
    <s v="Mrs."/>
    <s v="Afternoon"/>
  </r>
  <r>
    <n v="176"/>
    <x v="0"/>
    <x v="3"/>
    <s v="Fastfood"/>
    <n v="20"/>
    <x v="2"/>
    <n v="20"/>
    <x v="1"/>
    <s v="Mrs."/>
    <s v="Midnight"/>
  </r>
  <r>
    <n v="177"/>
    <x v="0"/>
    <x v="3"/>
    <s v="Fastfood"/>
    <n v="20"/>
    <x v="11"/>
    <n v="220"/>
    <x v="2"/>
    <s v="Mrs."/>
    <s v="Morning"/>
  </r>
  <r>
    <n v="178"/>
    <x v="0"/>
    <x v="0"/>
    <s v="Fastfood"/>
    <n v="20"/>
    <x v="13"/>
    <n v="40"/>
    <x v="1"/>
    <s v="Mrs."/>
    <s v="Morning"/>
  </r>
  <r>
    <n v="179"/>
    <x v="1"/>
    <x v="2"/>
    <s v="Beverages"/>
    <n v="25"/>
    <x v="8"/>
    <n v="125"/>
    <x v="0"/>
    <s v="Mrs."/>
    <s v="Midnight"/>
  </r>
  <r>
    <n v="180"/>
    <x v="0"/>
    <x v="1"/>
    <s v="Fastfood"/>
    <n v="20"/>
    <x v="3"/>
    <n v="120"/>
    <x v="2"/>
    <s v="Mrs."/>
    <s v="Afternoon"/>
  </r>
  <r>
    <n v="181"/>
    <x v="0"/>
    <x v="6"/>
    <s v="Beverages"/>
    <n v="40"/>
    <x v="14"/>
    <n v="280"/>
    <x v="1"/>
    <s v="Mrs."/>
    <s v="Night"/>
  </r>
  <r>
    <n v="182"/>
    <x v="0"/>
    <x v="6"/>
    <s v="Beverages"/>
    <n v="40"/>
    <x v="2"/>
    <n v="40"/>
    <x v="1"/>
    <s v="Mr."/>
    <s v="Midnight"/>
  </r>
  <r>
    <n v="183"/>
    <x v="0"/>
    <x v="2"/>
    <s v="Beverages"/>
    <n v="25"/>
    <x v="8"/>
    <n v="125"/>
    <x v="1"/>
    <s v="Mrs."/>
    <s v="Midnight"/>
  </r>
  <r>
    <n v="184"/>
    <x v="1"/>
    <x v="6"/>
    <s v="Beverages"/>
    <n v="40"/>
    <x v="4"/>
    <n v="320"/>
    <x v="1"/>
    <s v="Mr."/>
    <s v="Night"/>
  </r>
  <r>
    <n v="185"/>
    <x v="1"/>
    <x v="2"/>
    <s v="Beverages"/>
    <n v="25"/>
    <x v="1"/>
    <n v="375"/>
    <x v="0"/>
    <s v="Mr."/>
    <s v="Night"/>
  </r>
  <r>
    <n v="186"/>
    <x v="1"/>
    <x v="4"/>
    <s v="Fastfood"/>
    <n v="50"/>
    <x v="13"/>
    <n v="100"/>
    <x v="2"/>
    <s v="Mr."/>
    <s v="Afternoon"/>
  </r>
  <r>
    <n v="187"/>
    <x v="0"/>
    <x v="0"/>
    <s v="Fastfood"/>
    <n v="20"/>
    <x v="1"/>
    <n v="300"/>
    <x v="1"/>
    <s v="Mrs."/>
    <s v="Morning"/>
  </r>
  <r>
    <n v="188"/>
    <x v="0"/>
    <x v="3"/>
    <s v="Fastfood"/>
    <n v="20"/>
    <x v="7"/>
    <n v="280"/>
    <x v="1"/>
    <s v="Mrs."/>
    <s v="Night"/>
  </r>
  <r>
    <n v="189"/>
    <x v="1"/>
    <x v="1"/>
    <s v="Fastfood"/>
    <n v="20"/>
    <x v="12"/>
    <n v="240"/>
    <x v="2"/>
    <s v="Mr."/>
    <s v="Afternoon"/>
  </r>
  <r>
    <n v="190"/>
    <x v="0"/>
    <x v="6"/>
    <s v="Beverages"/>
    <n v="40"/>
    <x v="2"/>
    <n v="40"/>
    <x v="2"/>
    <s v="Mr."/>
    <s v="Evening"/>
  </r>
  <r>
    <n v="191"/>
    <x v="0"/>
    <x v="2"/>
    <s v="Beverages"/>
    <n v="25"/>
    <x v="7"/>
    <n v="350"/>
    <x v="1"/>
    <s v="Mrs."/>
    <s v="Morning"/>
  </r>
  <r>
    <n v="192"/>
    <x v="0"/>
    <x v="1"/>
    <s v="Fastfood"/>
    <n v="20"/>
    <x v="13"/>
    <n v="40"/>
    <x v="2"/>
    <s v="Mr."/>
    <s v="Night"/>
  </r>
  <r>
    <n v="193"/>
    <x v="1"/>
    <x v="6"/>
    <s v="Beverages"/>
    <n v="40"/>
    <x v="1"/>
    <n v="600"/>
    <x v="2"/>
    <s v="Mrs."/>
    <s v="Midnight"/>
  </r>
  <r>
    <n v="194"/>
    <x v="0"/>
    <x v="1"/>
    <s v="Fastfood"/>
    <n v="20"/>
    <x v="9"/>
    <n v="80"/>
    <x v="1"/>
    <s v="Mrs."/>
    <s v="Morning"/>
  </r>
  <r>
    <n v="195"/>
    <x v="0"/>
    <x v="5"/>
    <s v="Fastfood"/>
    <n v="60"/>
    <x v="9"/>
    <n v="240"/>
    <x v="1"/>
    <s v="Mrs."/>
    <s v="Night"/>
  </r>
  <r>
    <n v="196"/>
    <x v="0"/>
    <x v="5"/>
    <s v="Fastfood"/>
    <n v="60"/>
    <x v="10"/>
    <n v="180"/>
    <x v="1"/>
    <s v="Mr."/>
    <s v="Evening"/>
  </r>
  <r>
    <n v="197"/>
    <x v="0"/>
    <x v="3"/>
    <s v="Fastfood"/>
    <n v="20"/>
    <x v="5"/>
    <n v="200"/>
    <x v="1"/>
    <s v="Mrs."/>
    <s v="Midnight"/>
  </r>
  <r>
    <n v="198"/>
    <x v="1"/>
    <x v="4"/>
    <s v="Fastfood"/>
    <n v="50"/>
    <x v="1"/>
    <n v="750"/>
    <x v="1"/>
    <s v="Mr."/>
    <s v="Morning"/>
  </r>
  <r>
    <n v="199"/>
    <x v="1"/>
    <x v="4"/>
    <s v="Fastfood"/>
    <n v="50"/>
    <x v="3"/>
    <n v="300"/>
    <x v="2"/>
    <s v="Mrs."/>
    <s v="Morning"/>
  </r>
  <r>
    <n v="200"/>
    <x v="0"/>
    <x v="6"/>
    <s v="Beverages"/>
    <n v="40"/>
    <x v="5"/>
    <n v="400"/>
    <x v="1"/>
    <s v="Mrs."/>
    <s v="Morning"/>
  </r>
  <r>
    <n v="201"/>
    <x v="0"/>
    <x v="3"/>
    <s v="Fastfood"/>
    <n v="20"/>
    <x v="4"/>
    <n v="160"/>
    <x v="1"/>
    <s v="Mr."/>
    <s v="Morning"/>
  </r>
  <r>
    <n v="202"/>
    <x v="0"/>
    <x v="0"/>
    <s v="Fastfood"/>
    <n v="20"/>
    <x v="6"/>
    <n v="180"/>
    <x v="1"/>
    <s v="Mr."/>
    <s v="Afternoon"/>
  </r>
  <r>
    <n v="203"/>
    <x v="0"/>
    <x v="1"/>
    <s v="Fastfood"/>
    <n v="20"/>
    <x v="3"/>
    <n v="120"/>
    <x v="2"/>
    <s v="Mrs."/>
    <s v="Midnight"/>
  </r>
  <r>
    <n v="204"/>
    <x v="0"/>
    <x v="6"/>
    <s v="Beverages"/>
    <n v="40"/>
    <x v="14"/>
    <n v="280"/>
    <x v="1"/>
    <s v="Mrs."/>
    <s v="Evening"/>
  </r>
  <r>
    <n v="205"/>
    <x v="0"/>
    <x v="1"/>
    <s v="Fastfood"/>
    <n v="20"/>
    <x v="9"/>
    <n v="80"/>
    <x v="0"/>
    <s v="Mr."/>
    <s v="Afternoon"/>
  </r>
  <r>
    <n v="206"/>
    <x v="0"/>
    <x v="0"/>
    <s v="Fastfood"/>
    <n v="20"/>
    <x v="9"/>
    <n v="80"/>
    <x v="1"/>
    <s v="Mr."/>
    <s v="Night"/>
  </r>
  <r>
    <n v="207"/>
    <x v="1"/>
    <x v="6"/>
    <s v="Beverages"/>
    <n v="40"/>
    <x v="4"/>
    <n v="320"/>
    <x v="2"/>
    <s v="Mrs."/>
    <s v="Evening"/>
  </r>
  <r>
    <n v="208"/>
    <x v="0"/>
    <x v="6"/>
    <s v="Beverages"/>
    <n v="40"/>
    <x v="0"/>
    <n v="520"/>
    <x v="1"/>
    <s v="Mrs."/>
    <s v="Midnight"/>
  </r>
  <r>
    <n v="209"/>
    <x v="0"/>
    <x v="0"/>
    <s v="Fastfood"/>
    <n v="20"/>
    <x v="13"/>
    <n v="40"/>
    <x v="1"/>
    <s v="Mr."/>
    <s v="Night"/>
  </r>
  <r>
    <n v="210"/>
    <x v="1"/>
    <x v="2"/>
    <s v="Beverages"/>
    <n v="25"/>
    <x v="1"/>
    <n v="375"/>
    <x v="0"/>
    <s v="Mr."/>
    <s v="Night"/>
  </r>
  <r>
    <n v="211"/>
    <x v="0"/>
    <x v="0"/>
    <s v="Fastfood"/>
    <n v="20"/>
    <x v="12"/>
    <n v="240"/>
    <x v="1"/>
    <s v="Mr."/>
    <s v="Morning"/>
  </r>
  <r>
    <n v="212"/>
    <x v="0"/>
    <x v="6"/>
    <s v="Beverages"/>
    <n v="40"/>
    <x v="12"/>
    <n v="480"/>
    <x v="2"/>
    <s v="Mrs."/>
    <s v="Morning"/>
  </r>
  <r>
    <n v="213"/>
    <x v="0"/>
    <x v="1"/>
    <s v="Fastfood"/>
    <n v="20"/>
    <x v="10"/>
    <n v="60"/>
    <x v="0"/>
    <s v="Mrs."/>
    <s v="Midnight"/>
  </r>
  <r>
    <n v="214"/>
    <x v="0"/>
    <x v="2"/>
    <s v="Beverages"/>
    <n v="25"/>
    <x v="7"/>
    <n v="350"/>
    <x v="2"/>
    <s v="Mr."/>
    <s v="Evening"/>
  </r>
  <r>
    <n v="215"/>
    <x v="0"/>
    <x v="2"/>
    <s v="Beverages"/>
    <n v="25"/>
    <x v="14"/>
    <n v="175"/>
    <x v="0"/>
    <s v="Mrs."/>
    <s v="Morning"/>
  </r>
  <r>
    <n v="216"/>
    <x v="1"/>
    <x v="3"/>
    <s v="Fastfood"/>
    <n v="20"/>
    <x v="6"/>
    <n v="180"/>
    <x v="1"/>
    <s v="Mrs."/>
    <s v="Afternoon"/>
  </r>
  <r>
    <n v="217"/>
    <x v="1"/>
    <x v="6"/>
    <s v="Beverages"/>
    <n v="40"/>
    <x v="5"/>
    <n v="400"/>
    <x v="1"/>
    <s v="Mr."/>
    <s v="Morning"/>
  </r>
  <r>
    <n v="218"/>
    <x v="0"/>
    <x v="6"/>
    <s v="Beverages"/>
    <n v="40"/>
    <x v="0"/>
    <n v="520"/>
    <x v="2"/>
    <s v="Mrs."/>
    <s v="Midnight"/>
  </r>
  <r>
    <n v="219"/>
    <x v="0"/>
    <x v="0"/>
    <s v="Fastfood"/>
    <n v="20"/>
    <x v="6"/>
    <n v="180"/>
    <x v="1"/>
    <s v="Mrs."/>
    <s v="Evening"/>
  </r>
  <r>
    <n v="220"/>
    <x v="0"/>
    <x v="2"/>
    <s v="Beverages"/>
    <n v="25"/>
    <x v="2"/>
    <n v="25"/>
    <x v="1"/>
    <s v="Mr."/>
    <s v="Afternoon"/>
  </r>
  <r>
    <n v="221"/>
    <x v="1"/>
    <x v="5"/>
    <s v="Fastfood"/>
    <n v="60"/>
    <x v="2"/>
    <n v="60"/>
    <x v="2"/>
    <s v="Mr."/>
    <s v="Evening"/>
  </r>
  <r>
    <n v="222"/>
    <x v="0"/>
    <x v="5"/>
    <s v="Fastfood"/>
    <n v="60"/>
    <x v="3"/>
    <n v="360"/>
    <x v="1"/>
    <s v="Mrs."/>
    <s v="Morning"/>
  </r>
  <r>
    <n v="223"/>
    <x v="0"/>
    <x v="3"/>
    <s v="Fastfood"/>
    <n v="20"/>
    <x v="0"/>
    <n v="260"/>
    <x v="2"/>
    <s v="Mr."/>
    <s v="Night"/>
  </r>
  <r>
    <n v="224"/>
    <x v="1"/>
    <x v="2"/>
    <s v="Beverages"/>
    <n v="25"/>
    <x v="7"/>
    <n v="350"/>
    <x v="1"/>
    <s v="Mr."/>
    <s v="Afternoon"/>
  </r>
  <r>
    <n v="225"/>
    <x v="1"/>
    <x v="4"/>
    <s v="Fastfood"/>
    <n v="50"/>
    <x v="11"/>
    <n v="550"/>
    <x v="1"/>
    <s v="Mrs."/>
    <s v="Evening"/>
  </r>
  <r>
    <n v="226"/>
    <x v="0"/>
    <x v="0"/>
    <s v="Fastfood"/>
    <n v="20"/>
    <x v="0"/>
    <n v="260"/>
    <x v="2"/>
    <s v="Mrs."/>
    <s v="Afternoon"/>
  </r>
  <r>
    <n v="227"/>
    <x v="0"/>
    <x v="6"/>
    <s v="Beverages"/>
    <n v="40"/>
    <x v="8"/>
    <n v="200"/>
    <x v="1"/>
    <s v="Mrs."/>
    <s v="Afternoon"/>
  </r>
  <r>
    <n v="228"/>
    <x v="0"/>
    <x v="3"/>
    <s v="Fastfood"/>
    <n v="20"/>
    <x v="4"/>
    <n v="160"/>
    <x v="2"/>
    <s v="Mr."/>
    <s v="Night"/>
  </r>
  <r>
    <n v="229"/>
    <x v="0"/>
    <x v="3"/>
    <s v="Fastfood"/>
    <n v="20"/>
    <x v="14"/>
    <n v="140"/>
    <x v="0"/>
    <s v="Mr."/>
    <s v="Evening"/>
  </r>
  <r>
    <n v="230"/>
    <x v="0"/>
    <x v="4"/>
    <s v="Fastfood"/>
    <n v="50"/>
    <x v="3"/>
    <n v="300"/>
    <x v="2"/>
    <s v="Mr."/>
    <s v="Afternoon"/>
  </r>
  <r>
    <n v="231"/>
    <x v="0"/>
    <x v="2"/>
    <s v="Beverages"/>
    <n v="25"/>
    <x v="10"/>
    <n v="75"/>
    <x v="0"/>
    <s v="Mr."/>
    <s v="Night"/>
  </r>
  <r>
    <n v="232"/>
    <x v="0"/>
    <x v="1"/>
    <s v="Fastfood"/>
    <n v="20"/>
    <x v="0"/>
    <n v="260"/>
    <x v="1"/>
    <s v="Mrs."/>
    <s v="Night"/>
  </r>
  <r>
    <n v="233"/>
    <x v="0"/>
    <x v="3"/>
    <s v="Fastfood"/>
    <n v="20"/>
    <x v="8"/>
    <n v="100"/>
    <x v="1"/>
    <s v="Mr."/>
    <s v="Morning"/>
  </r>
  <r>
    <n v="234"/>
    <x v="0"/>
    <x v="3"/>
    <s v="Fastfood"/>
    <n v="20"/>
    <x v="5"/>
    <n v="200"/>
    <x v="1"/>
    <s v="Mr."/>
    <s v="Midnight"/>
  </r>
  <r>
    <n v="235"/>
    <x v="0"/>
    <x v="5"/>
    <s v="Fastfood"/>
    <n v="60"/>
    <x v="5"/>
    <n v="600"/>
    <x v="1"/>
    <s v="Mrs."/>
    <s v="Afternoon"/>
  </r>
  <r>
    <n v="236"/>
    <x v="0"/>
    <x v="1"/>
    <s v="Fastfood"/>
    <n v="20"/>
    <x v="12"/>
    <n v="240"/>
    <x v="0"/>
    <s v="Mrs."/>
    <s v="Evening"/>
  </r>
  <r>
    <n v="237"/>
    <x v="0"/>
    <x v="3"/>
    <s v="Fastfood"/>
    <n v="20"/>
    <x v="0"/>
    <n v="260"/>
    <x v="1"/>
    <s v="Mrs."/>
    <s v="Midnight"/>
  </r>
  <r>
    <n v="238"/>
    <x v="0"/>
    <x v="1"/>
    <s v="Fastfood"/>
    <n v="20"/>
    <x v="0"/>
    <n v="260"/>
    <x v="1"/>
    <s v="Mr."/>
    <s v="Morning"/>
  </r>
  <r>
    <n v="239"/>
    <x v="0"/>
    <x v="4"/>
    <s v="Fastfood"/>
    <n v="50"/>
    <x v="9"/>
    <n v="200"/>
    <x v="2"/>
    <s v="Mr."/>
    <s v="Evening"/>
  </r>
  <r>
    <n v="240"/>
    <x v="0"/>
    <x v="5"/>
    <s v="Fastfood"/>
    <n v="60"/>
    <x v="5"/>
    <n v="600"/>
    <x v="1"/>
    <s v="Mrs."/>
    <s v="Morning"/>
  </r>
  <r>
    <n v="241"/>
    <x v="0"/>
    <x v="2"/>
    <s v="Beverages"/>
    <n v="25"/>
    <x v="13"/>
    <n v="50"/>
    <x v="1"/>
    <s v="Mr."/>
    <s v="Afternoon"/>
  </r>
  <r>
    <n v="242"/>
    <x v="0"/>
    <x v="6"/>
    <s v="Beverages"/>
    <n v="40"/>
    <x v="9"/>
    <n v="160"/>
    <x v="2"/>
    <s v="Mrs."/>
    <s v="Midnight"/>
  </r>
  <r>
    <n v="243"/>
    <x v="0"/>
    <x v="3"/>
    <s v="Fastfood"/>
    <n v="20"/>
    <x v="8"/>
    <n v="100"/>
    <x v="1"/>
    <s v="Mrs."/>
    <s v="Midnight"/>
  </r>
  <r>
    <n v="244"/>
    <x v="0"/>
    <x v="5"/>
    <s v="Fastfood"/>
    <n v="60"/>
    <x v="5"/>
    <n v="600"/>
    <x v="2"/>
    <s v="Mrs."/>
    <s v="Midnight"/>
  </r>
  <r>
    <n v="245"/>
    <x v="0"/>
    <x v="1"/>
    <s v="Fastfood"/>
    <n v="20"/>
    <x v="13"/>
    <n v="40"/>
    <x v="1"/>
    <s v="Mrs."/>
    <s v="Morning"/>
  </r>
  <r>
    <n v="246"/>
    <x v="0"/>
    <x v="1"/>
    <s v="Fastfood"/>
    <n v="20"/>
    <x v="5"/>
    <n v="200"/>
    <x v="1"/>
    <s v="Mr."/>
    <s v="Afternoon"/>
  </r>
  <r>
    <n v="247"/>
    <x v="0"/>
    <x v="2"/>
    <s v="Beverages"/>
    <n v="25"/>
    <x v="3"/>
    <n v="150"/>
    <x v="0"/>
    <s v="Mr."/>
    <s v="Midnight"/>
  </r>
  <r>
    <n v="248"/>
    <x v="0"/>
    <x v="4"/>
    <s v="Fastfood"/>
    <n v="50"/>
    <x v="8"/>
    <n v="250"/>
    <x v="2"/>
    <s v="Mrs."/>
    <s v="Midnight"/>
  </r>
  <r>
    <n v="249"/>
    <x v="0"/>
    <x v="2"/>
    <s v="Beverages"/>
    <n v="25"/>
    <x v="10"/>
    <n v="75"/>
    <x v="2"/>
    <s v="Mrs."/>
    <s v="Afternoon"/>
  </r>
  <r>
    <n v="250"/>
    <x v="0"/>
    <x v="2"/>
    <s v="Beverages"/>
    <n v="25"/>
    <x v="3"/>
    <n v="150"/>
    <x v="2"/>
    <s v="Mrs."/>
    <s v="Midnight"/>
  </r>
  <r>
    <n v="251"/>
    <x v="0"/>
    <x v="6"/>
    <s v="Beverages"/>
    <n v="40"/>
    <x v="0"/>
    <n v="520"/>
    <x v="0"/>
    <s v="Mrs."/>
    <s v="Afternoon"/>
  </r>
  <r>
    <n v="252"/>
    <x v="1"/>
    <x v="1"/>
    <s v="Fastfood"/>
    <n v="20"/>
    <x v="4"/>
    <n v="160"/>
    <x v="2"/>
    <s v="Mr."/>
    <s v="Midnight"/>
  </r>
  <r>
    <n v="253"/>
    <x v="0"/>
    <x v="2"/>
    <s v="Beverages"/>
    <n v="25"/>
    <x v="0"/>
    <n v="325"/>
    <x v="2"/>
    <s v="Mr."/>
    <s v="Afternoon"/>
  </r>
  <r>
    <n v="254"/>
    <x v="0"/>
    <x v="6"/>
    <s v="Beverages"/>
    <n v="40"/>
    <x v="12"/>
    <n v="480"/>
    <x v="0"/>
    <s v="Mrs."/>
    <s v="Afternoon"/>
  </r>
  <r>
    <n v="255"/>
    <x v="0"/>
    <x v="1"/>
    <s v="Fastfood"/>
    <n v="20"/>
    <x v="14"/>
    <n v="140"/>
    <x v="0"/>
    <s v="Mrs."/>
    <s v="Afternoon"/>
  </r>
  <r>
    <n v="256"/>
    <x v="1"/>
    <x v="0"/>
    <s v="Fastfood"/>
    <n v="20"/>
    <x v="10"/>
    <n v="60"/>
    <x v="2"/>
    <s v="Mrs."/>
    <s v="Midnight"/>
  </r>
  <r>
    <n v="257"/>
    <x v="1"/>
    <x v="5"/>
    <s v="Fastfood"/>
    <n v="60"/>
    <x v="5"/>
    <n v="600"/>
    <x v="1"/>
    <s v="Mrs."/>
    <s v="Midnight"/>
  </r>
  <r>
    <n v="258"/>
    <x v="0"/>
    <x v="1"/>
    <s v="Fastfood"/>
    <n v="20"/>
    <x v="7"/>
    <n v="280"/>
    <x v="1"/>
    <s v="Mr."/>
    <s v="Midnight"/>
  </r>
  <r>
    <n v="259"/>
    <x v="0"/>
    <x v="5"/>
    <s v="Fastfood"/>
    <n v="60"/>
    <x v="9"/>
    <n v="240"/>
    <x v="2"/>
    <s v="Mr."/>
    <s v="Morning"/>
  </r>
  <r>
    <n v="260"/>
    <x v="0"/>
    <x v="2"/>
    <s v="Beverages"/>
    <n v="25"/>
    <x v="13"/>
    <n v="50"/>
    <x v="2"/>
    <s v="Mrs."/>
    <s v="Night"/>
  </r>
  <r>
    <n v="261"/>
    <x v="1"/>
    <x v="4"/>
    <s v="Fastfood"/>
    <n v="50"/>
    <x v="6"/>
    <n v="450"/>
    <x v="1"/>
    <s v="Mrs."/>
    <s v="Midnight"/>
  </r>
  <r>
    <n v="262"/>
    <x v="1"/>
    <x v="1"/>
    <s v="Fastfood"/>
    <n v="20"/>
    <x v="8"/>
    <n v="100"/>
    <x v="0"/>
    <s v="Mrs."/>
    <s v="Evening"/>
  </r>
  <r>
    <n v="263"/>
    <x v="0"/>
    <x v="3"/>
    <s v="Fastfood"/>
    <n v="20"/>
    <x v="13"/>
    <n v="40"/>
    <x v="1"/>
    <s v="Mr."/>
    <s v="Evening"/>
  </r>
  <r>
    <n v="264"/>
    <x v="0"/>
    <x v="2"/>
    <s v="Beverages"/>
    <n v="25"/>
    <x v="12"/>
    <n v="300"/>
    <x v="2"/>
    <s v="Mr."/>
    <s v="Morning"/>
  </r>
  <r>
    <n v="265"/>
    <x v="0"/>
    <x v="1"/>
    <s v="Fastfood"/>
    <n v="20"/>
    <x v="3"/>
    <n v="120"/>
    <x v="1"/>
    <s v="Mr."/>
    <s v="Midnight"/>
  </r>
  <r>
    <n v="266"/>
    <x v="0"/>
    <x v="4"/>
    <s v="Fastfood"/>
    <n v="50"/>
    <x v="5"/>
    <n v="500"/>
    <x v="2"/>
    <s v="Mrs."/>
    <s v="Night"/>
  </r>
  <r>
    <n v="267"/>
    <x v="1"/>
    <x v="1"/>
    <s v="Fastfood"/>
    <n v="20"/>
    <x v="2"/>
    <n v="20"/>
    <x v="1"/>
    <s v="Mr."/>
    <s v="Morning"/>
  </r>
  <r>
    <n v="268"/>
    <x v="1"/>
    <x v="6"/>
    <s v="Beverages"/>
    <n v="40"/>
    <x v="12"/>
    <n v="480"/>
    <x v="1"/>
    <s v="Mrs."/>
    <s v="Midnight"/>
  </r>
  <r>
    <n v="269"/>
    <x v="0"/>
    <x v="3"/>
    <s v="Fastfood"/>
    <n v="20"/>
    <x v="13"/>
    <n v="40"/>
    <x v="0"/>
    <s v="Mrs."/>
    <s v="Midnight"/>
  </r>
  <r>
    <n v="270"/>
    <x v="0"/>
    <x v="5"/>
    <s v="Fastfood"/>
    <n v="60"/>
    <x v="0"/>
    <n v="780"/>
    <x v="1"/>
    <s v="Mr."/>
    <s v="Evening"/>
  </r>
  <r>
    <n v="271"/>
    <x v="0"/>
    <x v="1"/>
    <s v="Fastfood"/>
    <n v="20"/>
    <x v="0"/>
    <n v="260"/>
    <x v="1"/>
    <s v="Mr."/>
    <s v="Evening"/>
  </r>
  <r>
    <n v="272"/>
    <x v="0"/>
    <x v="4"/>
    <s v="Fastfood"/>
    <n v="50"/>
    <x v="8"/>
    <n v="250"/>
    <x v="2"/>
    <s v="Mrs."/>
    <s v="Night"/>
  </r>
  <r>
    <n v="273"/>
    <x v="0"/>
    <x v="3"/>
    <s v="Fastfood"/>
    <n v="20"/>
    <x v="1"/>
    <n v="300"/>
    <x v="1"/>
    <s v="Mr."/>
    <s v="Midnight"/>
  </r>
  <r>
    <n v="274"/>
    <x v="1"/>
    <x v="2"/>
    <s v="Beverages"/>
    <n v="25"/>
    <x v="5"/>
    <n v="250"/>
    <x v="2"/>
    <s v="Mr."/>
    <s v="Night"/>
  </r>
  <r>
    <n v="275"/>
    <x v="1"/>
    <x v="1"/>
    <s v="Fastfood"/>
    <n v="20"/>
    <x v="1"/>
    <n v="300"/>
    <x v="2"/>
    <s v="Mr."/>
    <s v="Night"/>
  </r>
  <r>
    <n v="276"/>
    <x v="0"/>
    <x v="2"/>
    <s v="Beverages"/>
    <n v="25"/>
    <x v="3"/>
    <n v="150"/>
    <x v="1"/>
    <s v="Mr."/>
    <s v="Midnight"/>
  </r>
  <r>
    <n v="277"/>
    <x v="0"/>
    <x v="6"/>
    <s v="Beverages"/>
    <n v="40"/>
    <x v="0"/>
    <n v="520"/>
    <x v="1"/>
    <s v="Mrs."/>
    <s v="Midnight"/>
  </r>
  <r>
    <n v="278"/>
    <x v="0"/>
    <x v="4"/>
    <s v="Fastfood"/>
    <n v="50"/>
    <x v="3"/>
    <n v="300"/>
    <x v="2"/>
    <s v="Mrs."/>
    <s v="Night"/>
  </r>
  <r>
    <n v="279"/>
    <x v="0"/>
    <x v="1"/>
    <s v="Fastfood"/>
    <n v="20"/>
    <x v="1"/>
    <n v="300"/>
    <x v="1"/>
    <s v="Mrs."/>
    <s v="Afternoon"/>
  </r>
  <r>
    <n v="280"/>
    <x v="0"/>
    <x v="3"/>
    <s v="Fastfood"/>
    <n v="20"/>
    <x v="7"/>
    <n v="280"/>
    <x v="2"/>
    <s v="Mrs."/>
    <s v="Evening"/>
  </r>
  <r>
    <n v="281"/>
    <x v="0"/>
    <x v="5"/>
    <s v="Fastfood"/>
    <n v="60"/>
    <x v="10"/>
    <n v="180"/>
    <x v="1"/>
    <s v="Mrs."/>
    <s v="Afternoon"/>
  </r>
  <r>
    <n v="282"/>
    <x v="0"/>
    <x v="1"/>
    <s v="Fastfood"/>
    <n v="20"/>
    <x v="0"/>
    <n v="260"/>
    <x v="0"/>
    <s v="Mrs."/>
    <s v="Morning"/>
  </r>
  <r>
    <n v="283"/>
    <x v="0"/>
    <x v="3"/>
    <s v="Fastfood"/>
    <n v="20"/>
    <x v="13"/>
    <n v="40"/>
    <x v="1"/>
    <s v="Mrs."/>
    <s v="Midnight"/>
  </r>
  <r>
    <n v="284"/>
    <x v="1"/>
    <x v="4"/>
    <s v="Fastfood"/>
    <n v="50"/>
    <x v="14"/>
    <n v="350"/>
    <x v="0"/>
    <s v="Mr."/>
    <s v="Afternoon"/>
  </r>
  <r>
    <n v="285"/>
    <x v="0"/>
    <x v="0"/>
    <s v="Fastfood"/>
    <n v="20"/>
    <x v="10"/>
    <n v="60"/>
    <x v="0"/>
    <s v="Mr."/>
    <s v="Night"/>
  </r>
  <r>
    <n v="286"/>
    <x v="0"/>
    <x v="1"/>
    <s v="Fastfood"/>
    <n v="20"/>
    <x v="3"/>
    <n v="120"/>
    <x v="0"/>
    <s v="Mr."/>
    <s v="Night"/>
  </r>
  <r>
    <n v="287"/>
    <x v="0"/>
    <x v="0"/>
    <s v="Fastfood"/>
    <n v="20"/>
    <x v="10"/>
    <n v="60"/>
    <x v="1"/>
    <s v="Mr."/>
    <s v="Morning"/>
  </r>
  <r>
    <n v="288"/>
    <x v="0"/>
    <x v="5"/>
    <s v="Fastfood"/>
    <n v="60"/>
    <x v="14"/>
    <n v="420"/>
    <x v="1"/>
    <s v="Mr."/>
    <s v="Night"/>
  </r>
  <r>
    <n v="289"/>
    <x v="0"/>
    <x v="0"/>
    <s v="Fastfood"/>
    <n v="20"/>
    <x v="14"/>
    <n v="140"/>
    <x v="2"/>
    <s v="Mrs."/>
    <s v="Midnight"/>
  </r>
  <r>
    <n v="290"/>
    <x v="0"/>
    <x v="3"/>
    <s v="Fastfood"/>
    <n v="20"/>
    <x v="14"/>
    <n v="140"/>
    <x v="1"/>
    <s v="Mrs."/>
    <s v="Morning"/>
  </r>
  <r>
    <n v="291"/>
    <x v="1"/>
    <x v="4"/>
    <s v="Fastfood"/>
    <n v="50"/>
    <x v="4"/>
    <n v="400"/>
    <x v="2"/>
    <s v="Mrs."/>
    <s v="Night"/>
  </r>
  <r>
    <n v="292"/>
    <x v="1"/>
    <x v="4"/>
    <s v="Fastfood"/>
    <n v="50"/>
    <x v="13"/>
    <n v="100"/>
    <x v="1"/>
    <s v="Mrs."/>
    <s v="Midnight"/>
  </r>
  <r>
    <n v="293"/>
    <x v="0"/>
    <x v="3"/>
    <s v="Fastfood"/>
    <n v="20"/>
    <x v="4"/>
    <n v="160"/>
    <x v="2"/>
    <s v="Mrs."/>
    <s v="Morning"/>
  </r>
  <r>
    <n v="294"/>
    <x v="0"/>
    <x v="0"/>
    <s v="Fastfood"/>
    <n v="20"/>
    <x v="2"/>
    <n v="20"/>
    <x v="1"/>
    <s v="Mrs."/>
    <s v="Evening"/>
  </r>
  <r>
    <n v="295"/>
    <x v="0"/>
    <x v="5"/>
    <s v="Fastfood"/>
    <n v="60"/>
    <x v="14"/>
    <n v="420"/>
    <x v="1"/>
    <s v="Mr."/>
    <s v="Midnight"/>
  </r>
  <r>
    <n v="296"/>
    <x v="1"/>
    <x v="3"/>
    <s v="Fastfood"/>
    <n v="20"/>
    <x v="14"/>
    <n v="140"/>
    <x v="1"/>
    <s v="Mrs."/>
    <s v="Afternoon"/>
  </r>
  <r>
    <n v="297"/>
    <x v="0"/>
    <x v="5"/>
    <s v="Fastfood"/>
    <n v="60"/>
    <x v="5"/>
    <n v="600"/>
    <x v="2"/>
    <s v="Mr."/>
    <s v="Evening"/>
  </r>
  <r>
    <n v="298"/>
    <x v="0"/>
    <x v="2"/>
    <s v="Beverages"/>
    <n v="25"/>
    <x v="6"/>
    <n v="225"/>
    <x v="1"/>
    <s v="Mrs."/>
    <s v="Afternoon"/>
  </r>
  <r>
    <n v="299"/>
    <x v="0"/>
    <x v="0"/>
    <s v="Fastfood"/>
    <n v="20"/>
    <x v="2"/>
    <n v="20"/>
    <x v="2"/>
    <s v="Mrs."/>
    <s v="Evening"/>
  </r>
  <r>
    <n v="300"/>
    <x v="0"/>
    <x v="0"/>
    <s v="Fastfood"/>
    <n v="20"/>
    <x v="4"/>
    <n v="160"/>
    <x v="1"/>
    <s v="Mr."/>
    <s v="Afternoon"/>
  </r>
  <r>
    <n v="301"/>
    <x v="1"/>
    <x v="3"/>
    <s v="Fastfood"/>
    <n v="20"/>
    <x v="14"/>
    <n v="140"/>
    <x v="1"/>
    <s v="Mr."/>
    <s v="Night"/>
  </r>
  <r>
    <n v="302"/>
    <x v="1"/>
    <x v="0"/>
    <s v="Fastfood"/>
    <n v="20"/>
    <x v="7"/>
    <n v="280"/>
    <x v="1"/>
    <s v="Mr."/>
    <s v="Night"/>
  </r>
  <r>
    <n v="303"/>
    <x v="0"/>
    <x v="2"/>
    <s v="Beverages"/>
    <n v="25"/>
    <x v="2"/>
    <n v="25"/>
    <x v="1"/>
    <s v="Mrs."/>
    <s v="Midnight"/>
  </r>
  <r>
    <n v="304"/>
    <x v="0"/>
    <x v="1"/>
    <s v="Fastfood"/>
    <n v="20"/>
    <x v="1"/>
    <n v="300"/>
    <x v="2"/>
    <s v="Mr."/>
    <s v="Morning"/>
  </r>
  <r>
    <n v="305"/>
    <x v="1"/>
    <x v="3"/>
    <s v="Fastfood"/>
    <n v="20"/>
    <x v="9"/>
    <n v="80"/>
    <x v="0"/>
    <s v="Mrs."/>
    <s v="Morning"/>
  </r>
  <r>
    <n v="306"/>
    <x v="1"/>
    <x v="6"/>
    <s v="Beverages"/>
    <n v="40"/>
    <x v="4"/>
    <n v="320"/>
    <x v="2"/>
    <s v="Mrs."/>
    <s v="Morning"/>
  </r>
  <r>
    <n v="307"/>
    <x v="1"/>
    <x v="1"/>
    <s v="Fastfood"/>
    <n v="20"/>
    <x v="4"/>
    <n v="160"/>
    <x v="1"/>
    <s v="Mr."/>
    <s v="Evening"/>
  </r>
  <r>
    <n v="308"/>
    <x v="0"/>
    <x v="5"/>
    <s v="Fastfood"/>
    <n v="60"/>
    <x v="0"/>
    <n v="780"/>
    <x v="2"/>
    <s v="Mr."/>
    <s v="Evening"/>
  </r>
  <r>
    <n v="309"/>
    <x v="0"/>
    <x v="5"/>
    <s v="Fastfood"/>
    <n v="60"/>
    <x v="4"/>
    <n v="480"/>
    <x v="2"/>
    <s v="Mr."/>
    <s v="Evening"/>
  </r>
  <r>
    <n v="310"/>
    <x v="0"/>
    <x v="1"/>
    <s v="Fastfood"/>
    <n v="20"/>
    <x v="9"/>
    <n v="80"/>
    <x v="1"/>
    <s v="Mr."/>
    <s v="Afternoon"/>
  </r>
  <r>
    <n v="311"/>
    <x v="0"/>
    <x v="4"/>
    <s v="Fastfood"/>
    <n v="50"/>
    <x v="14"/>
    <n v="350"/>
    <x v="0"/>
    <s v="Mrs."/>
    <s v="Morning"/>
  </r>
  <r>
    <n v="312"/>
    <x v="0"/>
    <x v="6"/>
    <s v="Beverages"/>
    <n v="40"/>
    <x v="2"/>
    <n v="40"/>
    <x v="1"/>
    <s v="Mrs."/>
    <s v="Night"/>
  </r>
  <r>
    <n v="313"/>
    <x v="0"/>
    <x v="6"/>
    <s v="Beverages"/>
    <n v="40"/>
    <x v="2"/>
    <n v="40"/>
    <x v="1"/>
    <s v="Mr."/>
    <s v="Midnight"/>
  </r>
  <r>
    <n v="314"/>
    <x v="1"/>
    <x v="4"/>
    <s v="Fastfood"/>
    <n v="50"/>
    <x v="4"/>
    <n v="400"/>
    <x v="2"/>
    <s v="Mrs."/>
    <s v="Morning"/>
  </r>
  <r>
    <n v="315"/>
    <x v="1"/>
    <x v="6"/>
    <s v="Beverages"/>
    <n v="40"/>
    <x v="0"/>
    <n v="520"/>
    <x v="2"/>
    <s v="Mrs."/>
    <s v="Afternoon"/>
  </r>
  <r>
    <n v="316"/>
    <x v="0"/>
    <x v="4"/>
    <s v="Fastfood"/>
    <n v="50"/>
    <x v="9"/>
    <n v="200"/>
    <x v="2"/>
    <s v="Mr."/>
    <s v="Morning"/>
  </r>
  <r>
    <n v="317"/>
    <x v="1"/>
    <x v="0"/>
    <s v="Fastfood"/>
    <n v="20"/>
    <x v="12"/>
    <n v="240"/>
    <x v="2"/>
    <s v="Mrs."/>
    <s v="Afternoon"/>
  </r>
  <r>
    <n v="318"/>
    <x v="0"/>
    <x v="0"/>
    <s v="Fastfood"/>
    <n v="20"/>
    <x v="5"/>
    <n v="200"/>
    <x v="2"/>
    <s v="Mrs."/>
    <s v="Midnight"/>
  </r>
  <r>
    <n v="319"/>
    <x v="0"/>
    <x v="4"/>
    <s v="Fastfood"/>
    <n v="50"/>
    <x v="1"/>
    <n v="750"/>
    <x v="1"/>
    <s v="Mr."/>
    <s v="Afternoon"/>
  </r>
  <r>
    <n v="320"/>
    <x v="1"/>
    <x v="2"/>
    <s v="Beverages"/>
    <n v="25"/>
    <x v="14"/>
    <n v="175"/>
    <x v="1"/>
    <s v="Mrs."/>
    <s v="Afternoon"/>
  </r>
  <r>
    <n v="321"/>
    <x v="1"/>
    <x v="4"/>
    <s v="Fastfood"/>
    <n v="50"/>
    <x v="12"/>
    <n v="600"/>
    <x v="1"/>
    <s v="Mrs."/>
    <s v="Evening"/>
  </r>
  <r>
    <n v="322"/>
    <x v="0"/>
    <x v="6"/>
    <s v="Beverages"/>
    <n v="40"/>
    <x v="11"/>
    <n v="440"/>
    <x v="1"/>
    <s v="Mr."/>
    <s v="Morning"/>
  </r>
  <r>
    <n v="323"/>
    <x v="0"/>
    <x v="0"/>
    <s v="Fastfood"/>
    <n v="20"/>
    <x v="9"/>
    <n v="80"/>
    <x v="1"/>
    <s v="Mr."/>
    <s v="Morning"/>
  </r>
  <r>
    <n v="324"/>
    <x v="0"/>
    <x v="2"/>
    <s v="Beverages"/>
    <n v="25"/>
    <x v="1"/>
    <n v="375"/>
    <x v="2"/>
    <s v="Mrs."/>
    <s v="Night"/>
  </r>
  <r>
    <n v="325"/>
    <x v="1"/>
    <x v="0"/>
    <s v="Fastfood"/>
    <n v="20"/>
    <x v="12"/>
    <n v="240"/>
    <x v="0"/>
    <s v="Mrs."/>
    <s v="Afternoon"/>
  </r>
  <r>
    <n v="326"/>
    <x v="0"/>
    <x v="5"/>
    <s v="Fastfood"/>
    <n v="60"/>
    <x v="4"/>
    <n v="480"/>
    <x v="1"/>
    <s v="Mr."/>
    <s v="Evening"/>
  </r>
  <r>
    <n v="327"/>
    <x v="0"/>
    <x v="4"/>
    <s v="Fastfood"/>
    <n v="50"/>
    <x v="1"/>
    <n v="750"/>
    <x v="1"/>
    <s v="Mrs."/>
    <s v="Midnight"/>
  </r>
  <r>
    <n v="328"/>
    <x v="0"/>
    <x v="1"/>
    <s v="Fastfood"/>
    <n v="20"/>
    <x v="10"/>
    <n v="60"/>
    <x v="2"/>
    <s v="Mr."/>
    <s v="Evening"/>
  </r>
  <r>
    <n v="329"/>
    <x v="1"/>
    <x v="3"/>
    <s v="Fastfood"/>
    <n v="20"/>
    <x v="14"/>
    <n v="140"/>
    <x v="2"/>
    <s v="Mrs."/>
    <s v="Afternoon"/>
  </r>
  <r>
    <n v="330"/>
    <x v="0"/>
    <x v="3"/>
    <s v="Fastfood"/>
    <n v="20"/>
    <x v="4"/>
    <n v="160"/>
    <x v="0"/>
    <s v="Mr."/>
    <s v="Morning"/>
  </r>
  <r>
    <n v="331"/>
    <x v="0"/>
    <x v="3"/>
    <s v="Fastfood"/>
    <n v="20"/>
    <x v="9"/>
    <n v="80"/>
    <x v="2"/>
    <s v="Mrs."/>
    <s v="Evening"/>
  </r>
  <r>
    <n v="332"/>
    <x v="1"/>
    <x v="0"/>
    <s v="Fastfood"/>
    <n v="20"/>
    <x v="13"/>
    <n v="40"/>
    <x v="0"/>
    <s v="Mrs."/>
    <s v="Afternoon"/>
  </r>
  <r>
    <n v="333"/>
    <x v="0"/>
    <x v="2"/>
    <s v="Beverages"/>
    <n v="25"/>
    <x v="11"/>
    <n v="275"/>
    <x v="1"/>
    <s v="Mrs."/>
    <s v="Afternoon"/>
  </r>
  <r>
    <n v="334"/>
    <x v="0"/>
    <x v="6"/>
    <s v="Beverages"/>
    <n v="40"/>
    <x v="9"/>
    <n v="160"/>
    <x v="1"/>
    <s v="Mrs."/>
    <s v="Evening"/>
  </r>
  <r>
    <n v="335"/>
    <x v="0"/>
    <x v="6"/>
    <s v="Beverages"/>
    <n v="40"/>
    <x v="11"/>
    <n v="440"/>
    <x v="1"/>
    <s v="Mr."/>
    <s v="Night"/>
  </r>
  <r>
    <n v="336"/>
    <x v="0"/>
    <x v="2"/>
    <s v="Beverages"/>
    <n v="25"/>
    <x v="0"/>
    <n v="325"/>
    <x v="0"/>
    <s v="Mrs."/>
    <s v="Midnight"/>
  </r>
  <r>
    <n v="337"/>
    <x v="0"/>
    <x v="0"/>
    <s v="Fastfood"/>
    <n v="20"/>
    <x v="7"/>
    <n v="280"/>
    <x v="2"/>
    <s v="Mrs."/>
    <s v="Midnight"/>
  </r>
  <r>
    <n v="338"/>
    <x v="0"/>
    <x v="2"/>
    <s v="Beverages"/>
    <n v="25"/>
    <x v="12"/>
    <n v="300"/>
    <x v="1"/>
    <s v="Mr."/>
    <s v="Morning"/>
  </r>
  <r>
    <n v="339"/>
    <x v="1"/>
    <x v="2"/>
    <s v="Beverages"/>
    <n v="25"/>
    <x v="2"/>
    <n v="25"/>
    <x v="0"/>
    <s v="Mrs."/>
    <s v="Midnight"/>
  </r>
  <r>
    <n v="340"/>
    <x v="0"/>
    <x v="6"/>
    <s v="Beverages"/>
    <n v="40"/>
    <x v="9"/>
    <n v="160"/>
    <x v="1"/>
    <s v="Mrs."/>
    <s v="Evening"/>
  </r>
  <r>
    <n v="341"/>
    <x v="1"/>
    <x v="4"/>
    <s v="Fastfood"/>
    <n v="50"/>
    <x v="6"/>
    <n v="450"/>
    <x v="1"/>
    <s v="Mrs."/>
    <s v="Evening"/>
  </r>
  <r>
    <n v="342"/>
    <x v="1"/>
    <x v="1"/>
    <s v="Fastfood"/>
    <n v="20"/>
    <x v="14"/>
    <n v="140"/>
    <x v="2"/>
    <s v="Mr."/>
    <s v="Afternoon"/>
  </r>
  <r>
    <n v="343"/>
    <x v="1"/>
    <x v="2"/>
    <s v="Beverages"/>
    <n v="25"/>
    <x v="8"/>
    <n v="125"/>
    <x v="1"/>
    <s v="Mr."/>
    <s v="Afternoon"/>
  </r>
  <r>
    <n v="344"/>
    <x v="0"/>
    <x v="6"/>
    <s v="Beverages"/>
    <n v="40"/>
    <x v="7"/>
    <n v="560"/>
    <x v="1"/>
    <s v="Mr."/>
    <s v="Night"/>
  </r>
  <r>
    <n v="345"/>
    <x v="0"/>
    <x v="3"/>
    <s v="Fastfood"/>
    <n v="20"/>
    <x v="7"/>
    <n v="280"/>
    <x v="2"/>
    <s v="Mrs."/>
    <s v="Night"/>
  </r>
  <r>
    <n v="346"/>
    <x v="1"/>
    <x v="6"/>
    <s v="Beverages"/>
    <n v="40"/>
    <x v="12"/>
    <n v="480"/>
    <x v="1"/>
    <s v="Mr."/>
    <s v="Morning"/>
  </r>
  <r>
    <n v="347"/>
    <x v="0"/>
    <x v="4"/>
    <s v="Fastfood"/>
    <n v="50"/>
    <x v="14"/>
    <n v="350"/>
    <x v="1"/>
    <s v="Mrs."/>
    <s v="Afternoon"/>
  </r>
  <r>
    <n v="348"/>
    <x v="0"/>
    <x v="1"/>
    <s v="Fastfood"/>
    <n v="20"/>
    <x v="2"/>
    <n v="20"/>
    <x v="2"/>
    <s v="Mrs."/>
    <s v="Midnight"/>
  </r>
  <r>
    <n v="349"/>
    <x v="0"/>
    <x v="3"/>
    <s v="Fastfood"/>
    <n v="20"/>
    <x v="8"/>
    <n v="100"/>
    <x v="1"/>
    <s v="Mrs."/>
    <s v="Evening"/>
  </r>
  <r>
    <n v="350"/>
    <x v="0"/>
    <x v="6"/>
    <s v="Beverages"/>
    <n v="40"/>
    <x v="4"/>
    <n v="320"/>
    <x v="2"/>
    <s v="Mrs."/>
    <s v="Morning"/>
  </r>
  <r>
    <n v="351"/>
    <x v="0"/>
    <x v="4"/>
    <s v="Fastfood"/>
    <n v="50"/>
    <x v="8"/>
    <n v="250"/>
    <x v="2"/>
    <s v="Mrs."/>
    <s v="Night"/>
  </r>
  <r>
    <n v="352"/>
    <x v="0"/>
    <x v="4"/>
    <s v="Fastfood"/>
    <n v="50"/>
    <x v="11"/>
    <n v="550"/>
    <x v="1"/>
    <s v="Mrs."/>
    <s v="Night"/>
  </r>
  <r>
    <n v="353"/>
    <x v="0"/>
    <x v="1"/>
    <s v="Fastfood"/>
    <n v="20"/>
    <x v="9"/>
    <n v="80"/>
    <x v="2"/>
    <s v="Mrs."/>
    <s v="Midnight"/>
  </r>
  <r>
    <n v="354"/>
    <x v="1"/>
    <x v="3"/>
    <s v="Fastfood"/>
    <n v="20"/>
    <x v="7"/>
    <n v="280"/>
    <x v="2"/>
    <s v="Mr."/>
    <s v="Midnight"/>
  </r>
  <r>
    <n v="355"/>
    <x v="1"/>
    <x v="6"/>
    <s v="Beverages"/>
    <n v="40"/>
    <x v="9"/>
    <n v="160"/>
    <x v="2"/>
    <s v="Mr."/>
    <s v="Midnight"/>
  </r>
  <r>
    <n v="356"/>
    <x v="0"/>
    <x v="2"/>
    <s v="Beverages"/>
    <n v="25"/>
    <x v="7"/>
    <n v="350"/>
    <x v="1"/>
    <s v="Mrs."/>
    <s v="Night"/>
  </r>
  <r>
    <n v="357"/>
    <x v="0"/>
    <x v="5"/>
    <s v="Fastfood"/>
    <n v="60"/>
    <x v="6"/>
    <n v="540"/>
    <x v="2"/>
    <s v="Mrs."/>
    <s v="Afternoon"/>
  </r>
  <r>
    <n v="358"/>
    <x v="0"/>
    <x v="0"/>
    <s v="Fastfood"/>
    <n v="20"/>
    <x v="3"/>
    <n v="120"/>
    <x v="1"/>
    <s v="Mr."/>
    <s v="Night"/>
  </r>
  <r>
    <n v="359"/>
    <x v="0"/>
    <x v="0"/>
    <s v="Fastfood"/>
    <n v="20"/>
    <x v="0"/>
    <n v="260"/>
    <x v="2"/>
    <s v="Mrs."/>
    <s v="Night"/>
  </r>
  <r>
    <n v="360"/>
    <x v="0"/>
    <x v="6"/>
    <s v="Beverages"/>
    <n v="40"/>
    <x v="13"/>
    <n v="80"/>
    <x v="2"/>
    <s v="Mrs."/>
    <s v="Midnight"/>
  </r>
  <r>
    <n v="361"/>
    <x v="0"/>
    <x v="5"/>
    <s v="Fastfood"/>
    <n v="60"/>
    <x v="1"/>
    <n v="900"/>
    <x v="0"/>
    <s v="Mrs."/>
    <s v="Night"/>
  </r>
  <r>
    <n v="362"/>
    <x v="0"/>
    <x v="2"/>
    <s v="Beverages"/>
    <n v="25"/>
    <x v="13"/>
    <n v="50"/>
    <x v="1"/>
    <s v="Mr."/>
    <s v="Morning"/>
  </r>
  <r>
    <n v="363"/>
    <x v="0"/>
    <x v="4"/>
    <s v="Fastfood"/>
    <n v="50"/>
    <x v="6"/>
    <n v="450"/>
    <x v="2"/>
    <s v="Mr."/>
    <s v="Afternoon"/>
  </r>
  <r>
    <n v="364"/>
    <x v="0"/>
    <x v="6"/>
    <s v="Beverages"/>
    <n v="40"/>
    <x v="13"/>
    <n v="80"/>
    <x v="2"/>
    <s v="Mr."/>
    <s v="Night"/>
  </r>
  <r>
    <n v="365"/>
    <x v="0"/>
    <x v="3"/>
    <s v="Fastfood"/>
    <n v="20"/>
    <x v="5"/>
    <n v="200"/>
    <x v="2"/>
    <s v="Mr."/>
    <s v="Night"/>
  </r>
  <r>
    <n v="366"/>
    <x v="0"/>
    <x v="2"/>
    <s v="Beverages"/>
    <n v="25"/>
    <x v="5"/>
    <n v="250"/>
    <x v="2"/>
    <s v="Mrs."/>
    <s v="Afternoon"/>
  </r>
  <r>
    <n v="367"/>
    <x v="0"/>
    <x v="3"/>
    <s v="Fastfood"/>
    <n v="20"/>
    <x v="3"/>
    <n v="120"/>
    <x v="0"/>
    <s v="Mr."/>
    <s v="Afternoon"/>
  </r>
  <r>
    <n v="368"/>
    <x v="0"/>
    <x v="6"/>
    <s v="Beverages"/>
    <n v="40"/>
    <x v="13"/>
    <n v="80"/>
    <x v="1"/>
    <s v="Mr."/>
    <s v="Night"/>
  </r>
  <r>
    <n v="369"/>
    <x v="0"/>
    <x v="5"/>
    <s v="Fastfood"/>
    <n v="60"/>
    <x v="13"/>
    <n v="120"/>
    <x v="2"/>
    <s v="Mrs."/>
    <s v="Evening"/>
  </r>
  <r>
    <n v="370"/>
    <x v="0"/>
    <x v="3"/>
    <s v="Fastfood"/>
    <n v="20"/>
    <x v="8"/>
    <n v="100"/>
    <x v="0"/>
    <s v="Mrs."/>
    <s v="Midnight"/>
  </r>
  <r>
    <n v="371"/>
    <x v="0"/>
    <x v="1"/>
    <s v="Fastfood"/>
    <n v="20"/>
    <x v="8"/>
    <n v="100"/>
    <x v="2"/>
    <s v="Mrs."/>
    <s v="Night"/>
  </r>
  <r>
    <n v="372"/>
    <x v="0"/>
    <x v="4"/>
    <s v="Fastfood"/>
    <n v="50"/>
    <x v="12"/>
    <n v="600"/>
    <x v="0"/>
    <s v="Mr."/>
    <s v="Morning"/>
  </r>
  <r>
    <n v="373"/>
    <x v="0"/>
    <x v="2"/>
    <s v="Beverages"/>
    <n v="25"/>
    <x v="12"/>
    <n v="300"/>
    <x v="1"/>
    <s v="Mrs."/>
    <s v="Midnight"/>
  </r>
  <r>
    <n v="374"/>
    <x v="0"/>
    <x v="4"/>
    <s v="Fastfood"/>
    <n v="50"/>
    <x v="5"/>
    <n v="500"/>
    <x v="2"/>
    <s v="Mr."/>
    <s v="Midnight"/>
  </r>
  <r>
    <n v="375"/>
    <x v="0"/>
    <x v="3"/>
    <s v="Fastfood"/>
    <n v="20"/>
    <x v="0"/>
    <n v="260"/>
    <x v="1"/>
    <s v="Mr."/>
    <s v="Evening"/>
  </r>
  <r>
    <n v="376"/>
    <x v="0"/>
    <x v="4"/>
    <s v="Fastfood"/>
    <n v="50"/>
    <x v="1"/>
    <n v="750"/>
    <x v="1"/>
    <s v="Mr."/>
    <s v="Midnight"/>
  </r>
  <r>
    <n v="377"/>
    <x v="0"/>
    <x v="2"/>
    <s v="Beverages"/>
    <n v="25"/>
    <x v="10"/>
    <n v="75"/>
    <x v="2"/>
    <s v="Mrs."/>
    <s v="Evening"/>
  </r>
  <r>
    <n v="378"/>
    <x v="0"/>
    <x v="1"/>
    <s v="Fastfood"/>
    <n v="20"/>
    <x v="13"/>
    <n v="40"/>
    <x v="1"/>
    <s v="Mrs."/>
    <s v="Midnight"/>
  </r>
  <r>
    <n v="379"/>
    <x v="1"/>
    <x v="6"/>
    <s v="Beverages"/>
    <n v="40"/>
    <x v="7"/>
    <n v="560"/>
    <x v="0"/>
    <s v="Mr."/>
    <s v="Afternoon"/>
  </r>
  <r>
    <n v="380"/>
    <x v="0"/>
    <x v="5"/>
    <s v="Fastfood"/>
    <n v="60"/>
    <x v="8"/>
    <n v="300"/>
    <x v="2"/>
    <s v="Mrs."/>
    <s v="Afternoon"/>
  </r>
  <r>
    <n v="381"/>
    <x v="1"/>
    <x v="1"/>
    <s v="Fastfood"/>
    <n v="20"/>
    <x v="2"/>
    <n v="20"/>
    <x v="2"/>
    <s v="Mr."/>
    <s v="Morning"/>
  </r>
  <r>
    <n v="382"/>
    <x v="0"/>
    <x v="6"/>
    <s v="Beverages"/>
    <n v="40"/>
    <x v="6"/>
    <n v="360"/>
    <x v="1"/>
    <s v="Mrs."/>
    <s v="Night"/>
  </r>
  <r>
    <n v="383"/>
    <x v="0"/>
    <x v="0"/>
    <s v="Fastfood"/>
    <n v="20"/>
    <x v="14"/>
    <n v="140"/>
    <x v="2"/>
    <s v="Mrs."/>
    <s v="Morning"/>
  </r>
  <r>
    <n v="384"/>
    <x v="0"/>
    <x v="2"/>
    <s v="Beverages"/>
    <n v="25"/>
    <x v="2"/>
    <n v="25"/>
    <x v="2"/>
    <s v="Mr."/>
    <s v="Afternoon"/>
  </r>
  <r>
    <n v="385"/>
    <x v="0"/>
    <x v="1"/>
    <s v="Fastfood"/>
    <n v="20"/>
    <x v="8"/>
    <n v="100"/>
    <x v="1"/>
    <s v="Mr."/>
    <s v="Morning"/>
  </r>
  <r>
    <n v="386"/>
    <x v="0"/>
    <x v="4"/>
    <s v="Fastfood"/>
    <n v="50"/>
    <x v="8"/>
    <n v="250"/>
    <x v="2"/>
    <s v="Mr."/>
    <s v="Midnight"/>
  </r>
  <r>
    <n v="387"/>
    <x v="1"/>
    <x v="2"/>
    <s v="Beverages"/>
    <n v="25"/>
    <x v="7"/>
    <n v="350"/>
    <x v="1"/>
    <s v="Mrs."/>
    <s v="Midnight"/>
  </r>
  <r>
    <n v="388"/>
    <x v="0"/>
    <x v="5"/>
    <s v="Fastfood"/>
    <n v="60"/>
    <x v="7"/>
    <n v="840"/>
    <x v="1"/>
    <s v="Mr."/>
    <s v="Evening"/>
  </r>
  <r>
    <n v="389"/>
    <x v="0"/>
    <x v="5"/>
    <s v="Fastfood"/>
    <n v="60"/>
    <x v="12"/>
    <n v="720"/>
    <x v="1"/>
    <s v="Mrs."/>
    <s v="Evening"/>
  </r>
  <r>
    <n v="390"/>
    <x v="0"/>
    <x v="2"/>
    <s v="Beverages"/>
    <n v="25"/>
    <x v="8"/>
    <n v="125"/>
    <x v="0"/>
    <s v="Mr."/>
    <s v="Midnight"/>
  </r>
  <r>
    <n v="391"/>
    <x v="0"/>
    <x v="0"/>
    <s v="Fastfood"/>
    <n v="20"/>
    <x v="2"/>
    <n v="20"/>
    <x v="2"/>
    <s v="Mrs."/>
    <s v="Night"/>
  </r>
  <r>
    <n v="392"/>
    <x v="0"/>
    <x v="0"/>
    <s v="Fastfood"/>
    <n v="20"/>
    <x v="1"/>
    <n v="300"/>
    <x v="2"/>
    <s v="Mr."/>
    <s v="Night"/>
  </r>
  <r>
    <n v="393"/>
    <x v="0"/>
    <x v="2"/>
    <s v="Beverages"/>
    <n v="25"/>
    <x v="5"/>
    <n v="250"/>
    <x v="2"/>
    <s v="Mrs."/>
    <s v="Evening"/>
  </r>
  <r>
    <n v="394"/>
    <x v="0"/>
    <x v="5"/>
    <s v="Fastfood"/>
    <n v="60"/>
    <x v="2"/>
    <n v="60"/>
    <x v="1"/>
    <s v="Mrs."/>
    <s v="Morning"/>
  </r>
  <r>
    <n v="395"/>
    <x v="1"/>
    <x v="5"/>
    <s v="Fastfood"/>
    <n v="60"/>
    <x v="10"/>
    <n v="180"/>
    <x v="1"/>
    <s v="Mrs."/>
    <s v="Evening"/>
  </r>
  <r>
    <n v="396"/>
    <x v="0"/>
    <x v="4"/>
    <s v="Fastfood"/>
    <n v="50"/>
    <x v="1"/>
    <n v="750"/>
    <x v="2"/>
    <s v="Mr."/>
    <s v="Morning"/>
  </r>
  <r>
    <n v="397"/>
    <x v="0"/>
    <x v="0"/>
    <s v="Fastfood"/>
    <n v="20"/>
    <x v="13"/>
    <n v="40"/>
    <x v="2"/>
    <s v="Mrs."/>
    <s v="Afternoon"/>
  </r>
  <r>
    <n v="398"/>
    <x v="1"/>
    <x v="3"/>
    <s v="Fastfood"/>
    <n v="20"/>
    <x v="3"/>
    <n v="120"/>
    <x v="2"/>
    <s v="Mr."/>
    <s v="Evening"/>
  </r>
  <r>
    <n v="399"/>
    <x v="0"/>
    <x v="3"/>
    <s v="Fastfood"/>
    <n v="20"/>
    <x v="6"/>
    <n v="180"/>
    <x v="1"/>
    <s v="Mrs."/>
    <s v="Evening"/>
  </r>
  <r>
    <n v="400"/>
    <x v="1"/>
    <x v="6"/>
    <s v="Beverages"/>
    <n v="40"/>
    <x v="1"/>
    <n v="600"/>
    <x v="1"/>
    <s v="Mrs."/>
    <s v="Morning"/>
  </r>
  <r>
    <n v="401"/>
    <x v="0"/>
    <x v="2"/>
    <s v="Beverages"/>
    <n v="25"/>
    <x v="4"/>
    <n v="200"/>
    <x v="2"/>
    <s v="Mrs."/>
    <s v="Midnight"/>
  </r>
  <r>
    <n v="402"/>
    <x v="1"/>
    <x v="4"/>
    <s v="Fastfood"/>
    <n v="50"/>
    <x v="14"/>
    <n v="350"/>
    <x v="1"/>
    <s v="Mr."/>
    <s v="Night"/>
  </r>
  <r>
    <n v="403"/>
    <x v="0"/>
    <x v="6"/>
    <s v="Beverages"/>
    <n v="40"/>
    <x v="10"/>
    <n v="120"/>
    <x v="2"/>
    <s v="Mrs."/>
    <s v="Midnight"/>
  </r>
  <r>
    <n v="404"/>
    <x v="0"/>
    <x v="4"/>
    <s v="Fastfood"/>
    <n v="50"/>
    <x v="14"/>
    <n v="350"/>
    <x v="1"/>
    <s v="Mrs."/>
    <s v="Midnight"/>
  </r>
  <r>
    <n v="405"/>
    <x v="0"/>
    <x v="2"/>
    <s v="Beverages"/>
    <n v="25"/>
    <x v="5"/>
    <n v="250"/>
    <x v="1"/>
    <s v="Mr."/>
    <s v="Night"/>
  </r>
  <r>
    <n v="406"/>
    <x v="0"/>
    <x v="6"/>
    <s v="Beverages"/>
    <n v="40"/>
    <x v="9"/>
    <n v="160"/>
    <x v="2"/>
    <s v="Mrs."/>
    <s v="Afternoon"/>
  </r>
  <r>
    <n v="407"/>
    <x v="1"/>
    <x v="2"/>
    <s v="Beverages"/>
    <n v="25"/>
    <x v="13"/>
    <n v="50"/>
    <x v="1"/>
    <s v="Mr."/>
    <s v="Evening"/>
  </r>
  <r>
    <n v="408"/>
    <x v="0"/>
    <x v="1"/>
    <s v="Fastfood"/>
    <n v="20"/>
    <x v="9"/>
    <n v="80"/>
    <x v="2"/>
    <s v="Mr."/>
    <s v="Midnight"/>
  </r>
  <r>
    <n v="409"/>
    <x v="0"/>
    <x v="0"/>
    <s v="Fastfood"/>
    <n v="20"/>
    <x v="6"/>
    <n v="180"/>
    <x v="1"/>
    <s v="Mrs."/>
    <s v="Morning"/>
  </r>
  <r>
    <n v="410"/>
    <x v="0"/>
    <x v="0"/>
    <s v="Fastfood"/>
    <n v="20"/>
    <x v="1"/>
    <n v="300"/>
    <x v="2"/>
    <s v="Mr."/>
    <s v="Afternoon"/>
  </r>
  <r>
    <n v="411"/>
    <x v="0"/>
    <x v="3"/>
    <s v="Fastfood"/>
    <n v="20"/>
    <x v="12"/>
    <n v="240"/>
    <x v="1"/>
    <s v="Mr."/>
    <s v="Afternoon"/>
  </r>
  <r>
    <n v="412"/>
    <x v="1"/>
    <x v="2"/>
    <s v="Beverages"/>
    <n v="25"/>
    <x v="7"/>
    <n v="350"/>
    <x v="0"/>
    <s v="Mr."/>
    <s v="Afternoon"/>
  </r>
  <r>
    <n v="413"/>
    <x v="0"/>
    <x v="0"/>
    <s v="Fastfood"/>
    <n v="20"/>
    <x v="5"/>
    <n v="200"/>
    <x v="2"/>
    <s v="Mrs."/>
    <s v="Midnight"/>
  </r>
  <r>
    <n v="414"/>
    <x v="1"/>
    <x v="6"/>
    <s v="Beverages"/>
    <n v="40"/>
    <x v="0"/>
    <n v="520"/>
    <x v="0"/>
    <s v="Mr."/>
    <s v="Night"/>
  </r>
  <r>
    <n v="415"/>
    <x v="0"/>
    <x v="1"/>
    <s v="Fastfood"/>
    <n v="20"/>
    <x v="4"/>
    <n v="160"/>
    <x v="2"/>
    <s v="Mr."/>
    <s v="Evening"/>
  </r>
  <r>
    <n v="416"/>
    <x v="0"/>
    <x v="5"/>
    <s v="Fastfood"/>
    <n v="60"/>
    <x v="6"/>
    <n v="540"/>
    <x v="0"/>
    <s v="Mr."/>
    <s v="Morning"/>
  </r>
  <r>
    <n v="417"/>
    <x v="1"/>
    <x v="3"/>
    <s v="Fastfood"/>
    <n v="20"/>
    <x v="10"/>
    <n v="60"/>
    <x v="1"/>
    <s v="Mr."/>
    <s v="Evening"/>
  </r>
  <r>
    <n v="418"/>
    <x v="0"/>
    <x v="6"/>
    <s v="Beverages"/>
    <n v="40"/>
    <x v="14"/>
    <n v="280"/>
    <x v="2"/>
    <s v="Mr."/>
    <s v="Night"/>
  </r>
  <r>
    <n v="419"/>
    <x v="0"/>
    <x v="2"/>
    <s v="Beverages"/>
    <n v="25"/>
    <x v="7"/>
    <n v="350"/>
    <x v="0"/>
    <s v="Mrs."/>
    <s v="Midnight"/>
  </r>
  <r>
    <n v="420"/>
    <x v="1"/>
    <x v="4"/>
    <s v="Fastfood"/>
    <n v="50"/>
    <x v="0"/>
    <n v="650"/>
    <x v="2"/>
    <s v="Mrs."/>
    <s v="Evening"/>
  </r>
  <r>
    <n v="421"/>
    <x v="1"/>
    <x v="6"/>
    <s v="Beverages"/>
    <n v="40"/>
    <x v="13"/>
    <n v="80"/>
    <x v="2"/>
    <s v="Mr."/>
    <s v="Midnight"/>
  </r>
  <r>
    <n v="422"/>
    <x v="0"/>
    <x v="6"/>
    <s v="Beverages"/>
    <n v="40"/>
    <x v="14"/>
    <n v="280"/>
    <x v="2"/>
    <s v="Mr."/>
    <s v="Evening"/>
  </r>
  <r>
    <n v="423"/>
    <x v="0"/>
    <x v="4"/>
    <s v="Fastfood"/>
    <n v="50"/>
    <x v="14"/>
    <n v="350"/>
    <x v="1"/>
    <s v="Mrs."/>
    <s v="Night"/>
  </r>
  <r>
    <n v="424"/>
    <x v="0"/>
    <x v="2"/>
    <s v="Beverages"/>
    <n v="25"/>
    <x v="6"/>
    <n v="225"/>
    <x v="2"/>
    <s v="Mrs."/>
    <s v="Midnight"/>
  </r>
  <r>
    <n v="425"/>
    <x v="0"/>
    <x v="3"/>
    <s v="Fastfood"/>
    <n v="20"/>
    <x v="7"/>
    <n v="280"/>
    <x v="2"/>
    <s v="Mr."/>
    <s v="Afternoon"/>
  </r>
  <r>
    <n v="426"/>
    <x v="1"/>
    <x v="4"/>
    <s v="Fastfood"/>
    <n v="50"/>
    <x v="7"/>
    <n v="700"/>
    <x v="1"/>
    <s v="Mr."/>
    <s v="Midnight"/>
  </r>
  <r>
    <n v="427"/>
    <x v="0"/>
    <x v="5"/>
    <s v="Fastfood"/>
    <n v="60"/>
    <x v="13"/>
    <n v="120"/>
    <x v="2"/>
    <s v="Mr."/>
    <s v="Afternoon"/>
  </r>
  <r>
    <n v="428"/>
    <x v="0"/>
    <x v="2"/>
    <s v="Beverages"/>
    <n v="25"/>
    <x v="4"/>
    <n v="200"/>
    <x v="2"/>
    <s v="Mr."/>
    <s v="Afternoon"/>
  </r>
  <r>
    <n v="429"/>
    <x v="0"/>
    <x v="6"/>
    <s v="Beverages"/>
    <n v="40"/>
    <x v="10"/>
    <n v="120"/>
    <x v="2"/>
    <s v="Mr."/>
    <s v="Night"/>
  </r>
  <r>
    <n v="430"/>
    <x v="0"/>
    <x v="5"/>
    <s v="Fastfood"/>
    <n v="60"/>
    <x v="9"/>
    <n v="240"/>
    <x v="2"/>
    <s v="Mr."/>
    <s v="Night"/>
  </r>
  <r>
    <n v="431"/>
    <x v="1"/>
    <x v="3"/>
    <s v="Fastfood"/>
    <n v="20"/>
    <x v="3"/>
    <n v="120"/>
    <x v="2"/>
    <s v="Mr."/>
    <s v="Evening"/>
  </r>
  <r>
    <n v="432"/>
    <x v="1"/>
    <x v="3"/>
    <s v="Fastfood"/>
    <n v="20"/>
    <x v="3"/>
    <n v="120"/>
    <x v="2"/>
    <s v="Mr."/>
    <s v="Afternoon"/>
  </r>
  <r>
    <n v="433"/>
    <x v="0"/>
    <x v="3"/>
    <s v="Fastfood"/>
    <n v="20"/>
    <x v="7"/>
    <n v="280"/>
    <x v="2"/>
    <s v="Mrs."/>
    <s v="Evening"/>
  </r>
  <r>
    <n v="434"/>
    <x v="0"/>
    <x v="0"/>
    <s v="Fastfood"/>
    <n v="20"/>
    <x v="12"/>
    <n v="240"/>
    <x v="1"/>
    <s v="Mr."/>
    <s v="Morning"/>
  </r>
  <r>
    <n v="435"/>
    <x v="0"/>
    <x v="5"/>
    <s v="Fastfood"/>
    <n v="60"/>
    <x v="2"/>
    <n v="60"/>
    <x v="1"/>
    <s v="Mrs."/>
    <s v="Afternoon"/>
  </r>
  <r>
    <n v="436"/>
    <x v="1"/>
    <x v="4"/>
    <s v="Fastfood"/>
    <n v="50"/>
    <x v="5"/>
    <n v="500"/>
    <x v="1"/>
    <s v="Mr."/>
    <s v="Midnight"/>
  </r>
  <r>
    <n v="437"/>
    <x v="0"/>
    <x v="6"/>
    <s v="Beverages"/>
    <n v="40"/>
    <x v="2"/>
    <n v="40"/>
    <x v="0"/>
    <s v="Mr."/>
    <s v="Morning"/>
  </r>
  <r>
    <n v="438"/>
    <x v="0"/>
    <x v="6"/>
    <s v="Beverages"/>
    <n v="40"/>
    <x v="8"/>
    <n v="200"/>
    <x v="2"/>
    <s v="Mr."/>
    <s v="Morning"/>
  </r>
  <r>
    <n v="439"/>
    <x v="0"/>
    <x v="4"/>
    <s v="Fastfood"/>
    <n v="50"/>
    <x v="0"/>
    <n v="650"/>
    <x v="2"/>
    <s v="Mr."/>
    <s v="Afternoon"/>
  </r>
  <r>
    <n v="440"/>
    <x v="0"/>
    <x v="0"/>
    <s v="Fastfood"/>
    <n v="20"/>
    <x v="14"/>
    <n v="140"/>
    <x v="1"/>
    <s v="Mr."/>
    <s v="Afternoon"/>
  </r>
  <r>
    <n v="441"/>
    <x v="0"/>
    <x v="0"/>
    <s v="Fastfood"/>
    <n v="20"/>
    <x v="2"/>
    <n v="20"/>
    <x v="2"/>
    <s v="Mrs."/>
    <s v="Midnight"/>
  </r>
  <r>
    <n v="442"/>
    <x v="0"/>
    <x v="2"/>
    <s v="Beverages"/>
    <n v="25"/>
    <x v="14"/>
    <n v="175"/>
    <x v="2"/>
    <s v="Mrs."/>
    <s v="Night"/>
  </r>
  <r>
    <n v="443"/>
    <x v="0"/>
    <x v="2"/>
    <s v="Beverages"/>
    <n v="25"/>
    <x v="12"/>
    <n v="300"/>
    <x v="1"/>
    <s v="Mrs."/>
    <s v="Night"/>
  </r>
  <r>
    <n v="444"/>
    <x v="0"/>
    <x v="4"/>
    <s v="Fastfood"/>
    <n v="50"/>
    <x v="9"/>
    <n v="200"/>
    <x v="0"/>
    <s v="Mr."/>
    <s v="Evening"/>
  </r>
  <r>
    <n v="445"/>
    <x v="0"/>
    <x v="5"/>
    <s v="Fastfood"/>
    <n v="60"/>
    <x v="7"/>
    <n v="840"/>
    <x v="2"/>
    <s v="Mrs."/>
    <s v="Morning"/>
  </r>
  <r>
    <n v="446"/>
    <x v="0"/>
    <x v="6"/>
    <s v="Beverages"/>
    <n v="40"/>
    <x v="6"/>
    <n v="360"/>
    <x v="1"/>
    <s v="Mr."/>
    <s v="Night"/>
  </r>
  <r>
    <n v="447"/>
    <x v="1"/>
    <x v="4"/>
    <s v="Fastfood"/>
    <n v="50"/>
    <x v="3"/>
    <n v="300"/>
    <x v="2"/>
    <s v="Mrs."/>
    <s v="Afternoon"/>
  </r>
  <r>
    <n v="448"/>
    <x v="0"/>
    <x v="1"/>
    <s v="Fastfood"/>
    <n v="20"/>
    <x v="3"/>
    <n v="120"/>
    <x v="1"/>
    <s v="Mrs."/>
    <s v="Evening"/>
  </r>
  <r>
    <n v="449"/>
    <x v="0"/>
    <x v="4"/>
    <s v="Fastfood"/>
    <n v="50"/>
    <x v="9"/>
    <n v="200"/>
    <x v="1"/>
    <s v="Mr."/>
    <s v="Afternoon"/>
  </r>
  <r>
    <n v="450"/>
    <x v="0"/>
    <x v="2"/>
    <s v="Beverages"/>
    <n v="25"/>
    <x v="2"/>
    <n v="25"/>
    <x v="2"/>
    <s v="Mr."/>
    <s v="Morning"/>
  </r>
  <r>
    <n v="451"/>
    <x v="1"/>
    <x v="2"/>
    <s v="Beverages"/>
    <n v="25"/>
    <x v="5"/>
    <n v="250"/>
    <x v="1"/>
    <s v="Mrs."/>
    <s v="Midnight"/>
  </r>
  <r>
    <n v="452"/>
    <x v="0"/>
    <x v="4"/>
    <s v="Fastfood"/>
    <n v="50"/>
    <x v="8"/>
    <n v="250"/>
    <x v="2"/>
    <s v="Mr."/>
    <s v="Afternoon"/>
  </r>
  <r>
    <n v="453"/>
    <x v="0"/>
    <x v="5"/>
    <s v="Fastfood"/>
    <n v="60"/>
    <x v="2"/>
    <n v="60"/>
    <x v="2"/>
    <s v="Mrs."/>
    <s v="Midnight"/>
  </r>
  <r>
    <n v="454"/>
    <x v="1"/>
    <x v="5"/>
    <s v="Fastfood"/>
    <n v="60"/>
    <x v="2"/>
    <n v="60"/>
    <x v="2"/>
    <s v="Mrs."/>
    <s v="Evening"/>
  </r>
  <r>
    <n v="455"/>
    <x v="1"/>
    <x v="6"/>
    <s v="Beverages"/>
    <n v="40"/>
    <x v="11"/>
    <n v="440"/>
    <x v="1"/>
    <s v="Mr."/>
    <s v="Midnight"/>
  </r>
  <r>
    <n v="456"/>
    <x v="0"/>
    <x v="6"/>
    <s v="Beverages"/>
    <n v="40"/>
    <x v="0"/>
    <n v="520"/>
    <x v="0"/>
    <s v="Mrs."/>
    <s v="Night"/>
  </r>
  <r>
    <n v="457"/>
    <x v="0"/>
    <x v="6"/>
    <s v="Beverages"/>
    <n v="40"/>
    <x v="11"/>
    <n v="440"/>
    <x v="1"/>
    <s v="Mr."/>
    <s v="Evening"/>
  </r>
  <r>
    <n v="458"/>
    <x v="0"/>
    <x v="2"/>
    <s v="Beverages"/>
    <n v="25"/>
    <x v="4"/>
    <n v="200"/>
    <x v="1"/>
    <s v="Mrs."/>
    <s v="Midnight"/>
  </r>
  <r>
    <n v="459"/>
    <x v="0"/>
    <x v="1"/>
    <s v="Fastfood"/>
    <n v="20"/>
    <x v="7"/>
    <n v="280"/>
    <x v="1"/>
    <s v="Mr."/>
    <s v="Night"/>
  </r>
  <r>
    <n v="460"/>
    <x v="0"/>
    <x v="0"/>
    <s v="Fastfood"/>
    <n v="20"/>
    <x v="13"/>
    <n v="40"/>
    <x v="1"/>
    <s v="Mr."/>
    <s v="Morning"/>
  </r>
  <r>
    <n v="461"/>
    <x v="0"/>
    <x v="2"/>
    <s v="Beverages"/>
    <n v="25"/>
    <x v="8"/>
    <n v="125"/>
    <x v="1"/>
    <s v="Mr."/>
    <s v="Midnight"/>
  </r>
  <r>
    <n v="462"/>
    <x v="0"/>
    <x v="1"/>
    <s v="Fastfood"/>
    <n v="20"/>
    <x v="10"/>
    <n v="60"/>
    <x v="1"/>
    <s v="Mr."/>
    <s v="Morning"/>
  </r>
  <r>
    <n v="463"/>
    <x v="0"/>
    <x v="5"/>
    <s v="Fastfood"/>
    <n v="60"/>
    <x v="3"/>
    <n v="360"/>
    <x v="2"/>
    <s v="Mr."/>
    <s v="Midnight"/>
  </r>
  <r>
    <n v="464"/>
    <x v="0"/>
    <x v="2"/>
    <s v="Beverages"/>
    <n v="25"/>
    <x v="0"/>
    <n v="325"/>
    <x v="1"/>
    <s v="Mr."/>
    <s v="Morning"/>
  </r>
  <r>
    <n v="465"/>
    <x v="1"/>
    <x v="2"/>
    <s v="Beverages"/>
    <n v="25"/>
    <x v="12"/>
    <n v="300"/>
    <x v="2"/>
    <s v="Mr."/>
    <s v="Evening"/>
  </r>
  <r>
    <n v="466"/>
    <x v="1"/>
    <x v="3"/>
    <s v="Fastfood"/>
    <n v="20"/>
    <x v="3"/>
    <n v="120"/>
    <x v="1"/>
    <s v="Mr."/>
    <s v="Evening"/>
  </r>
  <r>
    <n v="467"/>
    <x v="0"/>
    <x v="0"/>
    <s v="Fastfood"/>
    <n v="20"/>
    <x v="11"/>
    <n v="220"/>
    <x v="2"/>
    <s v="Mr."/>
    <s v="Morning"/>
  </r>
  <r>
    <n v="468"/>
    <x v="0"/>
    <x v="3"/>
    <s v="Fastfood"/>
    <n v="20"/>
    <x v="13"/>
    <n v="40"/>
    <x v="1"/>
    <s v="Mr."/>
    <s v="Evening"/>
  </r>
  <r>
    <n v="469"/>
    <x v="0"/>
    <x v="5"/>
    <s v="Fastfood"/>
    <n v="60"/>
    <x v="14"/>
    <n v="420"/>
    <x v="2"/>
    <s v="Mrs."/>
    <s v="Morning"/>
  </r>
  <r>
    <n v="470"/>
    <x v="0"/>
    <x v="1"/>
    <s v="Fastfood"/>
    <n v="20"/>
    <x v="4"/>
    <n v="160"/>
    <x v="1"/>
    <s v="Mrs."/>
    <s v="Morning"/>
  </r>
  <r>
    <n v="471"/>
    <x v="1"/>
    <x v="3"/>
    <s v="Fastfood"/>
    <n v="20"/>
    <x v="14"/>
    <n v="140"/>
    <x v="1"/>
    <s v="Mrs."/>
    <s v="Afternoon"/>
  </r>
  <r>
    <n v="472"/>
    <x v="1"/>
    <x v="3"/>
    <s v="Fastfood"/>
    <n v="20"/>
    <x v="5"/>
    <n v="200"/>
    <x v="0"/>
    <s v="Mr."/>
    <s v="Midnight"/>
  </r>
  <r>
    <n v="473"/>
    <x v="0"/>
    <x v="5"/>
    <s v="Fastfood"/>
    <n v="60"/>
    <x v="8"/>
    <n v="300"/>
    <x v="1"/>
    <s v="Mrs."/>
    <s v="Evening"/>
  </r>
  <r>
    <n v="474"/>
    <x v="0"/>
    <x v="2"/>
    <s v="Beverages"/>
    <n v="25"/>
    <x v="1"/>
    <n v="375"/>
    <x v="1"/>
    <s v="Mrs."/>
    <s v="Night"/>
  </r>
  <r>
    <n v="475"/>
    <x v="1"/>
    <x v="6"/>
    <s v="Beverages"/>
    <n v="40"/>
    <x v="3"/>
    <n v="240"/>
    <x v="1"/>
    <s v="Mrs."/>
    <s v="Night"/>
  </r>
  <r>
    <n v="476"/>
    <x v="1"/>
    <x v="0"/>
    <s v="Fastfood"/>
    <n v="20"/>
    <x v="5"/>
    <n v="200"/>
    <x v="1"/>
    <s v="Mr."/>
    <s v="Morning"/>
  </r>
  <r>
    <n v="477"/>
    <x v="1"/>
    <x v="5"/>
    <s v="Fastfood"/>
    <n v="60"/>
    <x v="1"/>
    <n v="900"/>
    <x v="1"/>
    <s v="Mrs."/>
    <s v="Midnight"/>
  </r>
  <r>
    <n v="478"/>
    <x v="0"/>
    <x v="2"/>
    <s v="Beverages"/>
    <n v="25"/>
    <x v="6"/>
    <n v="225"/>
    <x v="1"/>
    <s v="Mrs."/>
    <s v="Afternoon"/>
  </r>
  <r>
    <n v="479"/>
    <x v="1"/>
    <x v="5"/>
    <s v="Fastfood"/>
    <n v="60"/>
    <x v="11"/>
    <n v="660"/>
    <x v="1"/>
    <s v="Mrs."/>
    <s v="Afternoon"/>
  </r>
  <r>
    <n v="480"/>
    <x v="0"/>
    <x v="1"/>
    <s v="Fastfood"/>
    <n v="20"/>
    <x v="12"/>
    <n v="240"/>
    <x v="1"/>
    <s v="Mr."/>
    <s v="Evening"/>
  </r>
  <r>
    <n v="481"/>
    <x v="0"/>
    <x v="2"/>
    <s v="Beverages"/>
    <n v="25"/>
    <x v="9"/>
    <n v="100"/>
    <x v="1"/>
    <s v="Mr."/>
    <s v="Evening"/>
  </r>
  <r>
    <n v="482"/>
    <x v="1"/>
    <x v="0"/>
    <s v="Fastfood"/>
    <n v="20"/>
    <x v="2"/>
    <n v="20"/>
    <x v="2"/>
    <s v="Mr."/>
    <s v="Afternoon"/>
  </r>
  <r>
    <n v="483"/>
    <x v="0"/>
    <x v="3"/>
    <s v="Fastfood"/>
    <n v="20"/>
    <x v="6"/>
    <n v="180"/>
    <x v="1"/>
    <s v="Mrs."/>
    <s v="Morning"/>
  </r>
  <r>
    <n v="484"/>
    <x v="1"/>
    <x v="6"/>
    <s v="Beverages"/>
    <n v="40"/>
    <x v="8"/>
    <n v="200"/>
    <x v="1"/>
    <s v="Mrs."/>
    <s v="Afternoon"/>
  </r>
  <r>
    <n v="485"/>
    <x v="1"/>
    <x v="0"/>
    <s v="Fastfood"/>
    <n v="20"/>
    <x v="3"/>
    <n v="120"/>
    <x v="1"/>
    <s v="Mrs."/>
    <s v="Midnight"/>
  </r>
  <r>
    <n v="486"/>
    <x v="1"/>
    <x v="1"/>
    <s v="Fastfood"/>
    <n v="20"/>
    <x v="3"/>
    <n v="120"/>
    <x v="1"/>
    <s v="Mrs."/>
    <s v="Midnight"/>
  </r>
  <r>
    <n v="487"/>
    <x v="0"/>
    <x v="5"/>
    <s v="Fastfood"/>
    <n v="60"/>
    <x v="6"/>
    <n v="540"/>
    <x v="1"/>
    <s v="Mrs."/>
    <s v="Midnight"/>
  </r>
  <r>
    <n v="488"/>
    <x v="0"/>
    <x v="6"/>
    <s v="Beverages"/>
    <n v="40"/>
    <x v="5"/>
    <n v="400"/>
    <x v="1"/>
    <s v="Mr."/>
    <s v="Midnight"/>
  </r>
  <r>
    <n v="489"/>
    <x v="1"/>
    <x v="4"/>
    <s v="Fastfood"/>
    <n v="50"/>
    <x v="0"/>
    <n v="650"/>
    <x v="2"/>
    <s v="Mrs."/>
    <s v="Evening"/>
  </r>
  <r>
    <n v="490"/>
    <x v="0"/>
    <x v="6"/>
    <s v="Beverages"/>
    <n v="40"/>
    <x v="4"/>
    <n v="320"/>
    <x v="1"/>
    <s v="Mr."/>
    <s v="Morning"/>
  </r>
  <r>
    <n v="491"/>
    <x v="0"/>
    <x v="1"/>
    <s v="Fastfood"/>
    <n v="20"/>
    <x v="13"/>
    <n v="40"/>
    <x v="2"/>
    <s v="Mrs."/>
    <s v="Midnight"/>
  </r>
  <r>
    <n v="492"/>
    <x v="0"/>
    <x v="5"/>
    <s v="Fastfood"/>
    <n v="60"/>
    <x v="1"/>
    <n v="900"/>
    <x v="1"/>
    <s v="Mr."/>
    <s v="Afternoon"/>
  </r>
  <r>
    <n v="493"/>
    <x v="0"/>
    <x v="6"/>
    <s v="Beverages"/>
    <n v="40"/>
    <x v="13"/>
    <n v="80"/>
    <x v="2"/>
    <s v="Mr."/>
    <s v="Morning"/>
  </r>
  <r>
    <n v="494"/>
    <x v="1"/>
    <x v="6"/>
    <s v="Beverages"/>
    <n v="40"/>
    <x v="5"/>
    <n v="400"/>
    <x v="1"/>
    <s v="Mrs."/>
    <s v="Night"/>
  </r>
  <r>
    <n v="495"/>
    <x v="0"/>
    <x v="0"/>
    <s v="Fastfood"/>
    <n v="20"/>
    <x v="0"/>
    <n v="260"/>
    <x v="2"/>
    <s v="Mrs."/>
    <s v="Midnight"/>
  </r>
  <r>
    <n v="496"/>
    <x v="0"/>
    <x v="6"/>
    <s v="Beverages"/>
    <n v="40"/>
    <x v="5"/>
    <n v="400"/>
    <x v="2"/>
    <s v="Mrs."/>
    <s v="Night"/>
  </r>
  <r>
    <n v="497"/>
    <x v="1"/>
    <x v="5"/>
    <s v="Fastfood"/>
    <n v="60"/>
    <x v="14"/>
    <n v="420"/>
    <x v="1"/>
    <s v="Mr."/>
    <s v="Midnight"/>
  </r>
  <r>
    <n v="498"/>
    <x v="0"/>
    <x v="4"/>
    <s v="Fastfood"/>
    <n v="50"/>
    <x v="2"/>
    <n v="50"/>
    <x v="1"/>
    <s v="Mr."/>
    <s v="Midnight"/>
  </r>
  <r>
    <n v="499"/>
    <x v="0"/>
    <x v="5"/>
    <s v="Fastfood"/>
    <n v="60"/>
    <x v="4"/>
    <n v="480"/>
    <x v="2"/>
    <s v="Mrs."/>
    <s v="Evening"/>
  </r>
  <r>
    <n v="500"/>
    <x v="0"/>
    <x v="1"/>
    <s v="Fastfood"/>
    <n v="20"/>
    <x v="9"/>
    <n v="80"/>
    <x v="2"/>
    <s v="Mrs."/>
    <s v="Midnight"/>
  </r>
  <r>
    <n v="501"/>
    <x v="0"/>
    <x v="2"/>
    <s v="Beverages"/>
    <n v="25"/>
    <x v="7"/>
    <n v="350"/>
    <x v="2"/>
    <s v="Mrs."/>
    <s v="Afternoon"/>
  </r>
  <r>
    <n v="502"/>
    <x v="1"/>
    <x v="3"/>
    <s v="Fastfood"/>
    <n v="20"/>
    <x v="0"/>
    <n v="260"/>
    <x v="2"/>
    <s v="Mr."/>
    <s v="Night"/>
  </r>
  <r>
    <n v="503"/>
    <x v="0"/>
    <x v="0"/>
    <s v="Fastfood"/>
    <n v="20"/>
    <x v="0"/>
    <n v="260"/>
    <x v="1"/>
    <s v="Mrs."/>
    <s v="Morning"/>
  </r>
  <r>
    <n v="504"/>
    <x v="0"/>
    <x v="6"/>
    <s v="Beverages"/>
    <n v="40"/>
    <x v="4"/>
    <n v="320"/>
    <x v="1"/>
    <s v="Mr."/>
    <s v="Evening"/>
  </r>
  <r>
    <n v="505"/>
    <x v="1"/>
    <x v="4"/>
    <s v="Fastfood"/>
    <n v="50"/>
    <x v="9"/>
    <n v="200"/>
    <x v="1"/>
    <s v="Mr."/>
    <s v="Night"/>
  </r>
  <r>
    <n v="506"/>
    <x v="0"/>
    <x v="6"/>
    <s v="Beverages"/>
    <n v="40"/>
    <x v="12"/>
    <n v="480"/>
    <x v="1"/>
    <s v="Mrs."/>
    <s v="Midnight"/>
  </r>
  <r>
    <n v="507"/>
    <x v="0"/>
    <x v="0"/>
    <s v="Fastfood"/>
    <n v="20"/>
    <x v="7"/>
    <n v="280"/>
    <x v="2"/>
    <s v="Mrs."/>
    <s v="Morning"/>
  </r>
  <r>
    <n v="508"/>
    <x v="0"/>
    <x v="5"/>
    <s v="Fastfood"/>
    <n v="60"/>
    <x v="2"/>
    <n v="60"/>
    <x v="1"/>
    <s v="Mr."/>
    <s v="Night"/>
  </r>
  <r>
    <n v="509"/>
    <x v="0"/>
    <x v="1"/>
    <s v="Fastfood"/>
    <n v="20"/>
    <x v="11"/>
    <n v="220"/>
    <x v="2"/>
    <s v="Mr."/>
    <s v="Evening"/>
  </r>
  <r>
    <n v="510"/>
    <x v="0"/>
    <x v="5"/>
    <s v="Fastfood"/>
    <n v="60"/>
    <x v="7"/>
    <n v="840"/>
    <x v="2"/>
    <s v="Mr."/>
    <s v="Afternoon"/>
  </r>
  <r>
    <n v="511"/>
    <x v="0"/>
    <x v="3"/>
    <s v="Fastfood"/>
    <n v="20"/>
    <x v="9"/>
    <n v="80"/>
    <x v="1"/>
    <s v="Mrs."/>
    <s v="Night"/>
  </r>
  <r>
    <n v="512"/>
    <x v="1"/>
    <x v="3"/>
    <s v="Fastfood"/>
    <n v="20"/>
    <x v="10"/>
    <n v="60"/>
    <x v="1"/>
    <s v="Mrs."/>
    <s v="Afternoon"/>
  </r>
  <r>
    <n v="513"/>
    <x v="0"/>
    <x v="6"/>
    <s v="Beverages"/>
    <n v="40"/>
    <x v="8"/>
    <n v="200"/>
    <x v="1"/>
    <s v="Mrs."/>
    <s v="Night"/>
  </r>
  <r>
    <n v="514"/>
    <x v="0"/>
    <x v="6"/>
    <s v="Beverages"/>
    <n v="40"/>
    <x v="4"/>
    <n v="320"/>
    <x v="2"/>
    <s v="Mrs."/>
    <s v="Evening"/>
  </r>
  <r>
    <n v="515"/>
    <x v="0"/>
    <x v="5"/>
    <s v="Fastfood"/>
    <n v="60"/>
    <x v="14"/>
    <n v="420"/>
    <x v="0"/>
    <s v="Mrs."/>
    <s v="Night"/>
  </r>
  <r>
    <n v="516"/>
    <x v="0"/>
    <x v="2"/>
    <s v="Beverages"/>
    <n v="25"/>
    <x v="12"/>
    <n v="300"/>
    <x v="2"/>
    <s v="Mrs."/>
    <s v="Midnight"/>
  </r>
  <r>
    <n v="517"/>
    <x v="0"/>
    <x v="3"/>
    <s v="Fastfood"/>
    <n v="20"/>
    <x v="0"/>
    <n v="260"/>
    <x v="2"/>
    <s v="Mr."/>
    <s v="Evening"/>
  </r>
  <r>
    <n v="518"/>
    <x v="0"/>
    <x v="0"/>
    <s v="Fastfood"/>
    <n v="20"/>
    <x v="3"/>
    <n v="120"/>
    <x v="1"/>
    <s v="Mrs."/>
    <s v="Morning"/>
  </r>
  <r>
    <n v="519"/>
    <x v="0"/>
    <x v="6"/>
    <s v="Beverages"/>
    <n v="40"/>
    <x v="5"/>
    <n v="400"/>
    <x v="1"/>
    <s v="Mr."/>
    <s v="Morning"/>
  </r>
  <r>
    <n v="520"/>
    <x v="0"/>
    <x v="3"/>
    <s v="Fastfood"/>
    <n v="20"/>
    <x v="11"/>
    <n v="220"/>
    <x v="2"/>
    <s v="Mrs."/>
    <s v="Night"/>
  </r>
  <r>
    <n v="521"/>
    <x v="1"/>
    <x v="3"/>
    <s v="Fastfood"/>
    <n v="20"/>
    <x v="7"/>
    <n v="280"/>
    <x v="2"/>
    <s v="Mr."/>
    <s v="Morning"/>
  </r>
  <r>
    <n v="522"/>
    <x v="0"/>
    <x v="3"/>
    <s v="Fastfood"/>
    <n v="20"/>
    <x v="0"/>
    <n v="260"/>
    <x v="1"/>
    <s v="Mrs."/>
    <s v="Midnight"/>
  </r>
  <r>
    <n v="523"/>
    <x v="0"/>
    <x v="4"/>
    <s v="Fastfood"/>
    <n v="50"/>
    <x v="3"/>
    <n v="300"/>
    <x v="1"/>
    <s v="Mr."/>
    <s v="Afternoon"/>
  </r>
  <r>
    <n v="524"/>
    <x v="0"/>
    <x v="0"/>
    <s v="Fastfood"/>
    <n v="20"/>
    <x v="0"/>
    <n v="260"/>
    <x v="2"/>
    <s v="Mr."/>
    <s v="Afternoon"/>
  </r>
  <r>
    <n v="525"/>
    <x v="0"/>
    <x v="1"/>
    <s v="Fastfood"/>
    <n v="20"/>
    <x v="10"/>
    <n v="60"/>
    <x v="1"/>
    <s v="Mr."/>
    <s v="Midnight"/>
  </r>
  <r>
    <n v="526"/>
    <x v="0"/>
    <x v="5"/>
    <s v="Fastfood"/>
    <n v="60"/>
    <x v="5"/>
    <n v="600"/>
    <x v="1"/>
    <s v="Mrs."/>
    <s v="Evening"/>
  </r>
  <r>
    <n v="527"/>
    <x v="1"/>
    <x v="2"/>
    <s v="Beverages"/>
    <n v="25"/>
    <x v="3"/>
    <n v="150"/>
    <x v="1"/>
    <s v="Mrs."/>
    <s v="Afternoon"/>
  </r>
  <r>
    <n v="528"/>
    <x v="0"/>
    <x v="2"/>
    <s v="Beverages"/>
    <n v="25"/>
    <x v="14"/>
    <n v="175"/>
    <x v="1"/>
    <s v="Mrs."/>
    <s v="Midnight"/>
  </r>
  <r>
    <n v="529"/>
    <x v="0"/>
    <x v="0"/>
    <s v="Fastfood"/>
    <n v="20"/>
    <x v="12"/>
    <n v="240"/>
    <x v="0"/>
    <s v="Mrs."/>
    <s v="Afternoon"/>
  </r>
  <r>
    <n v="530"/>
    <x v="0"/>
    <x v="3"/>
    <s v="Fastfood"/>
    <n v="20"/>
    <x v="3"/>
    <n v="120"/>
    <x v="1"/>
    <s v="Mrs."/>
    <s v="Night"/>
  </r>
  <r>
    <n v="531"/>
    <x v="0"/>
    <x v="6"/>
    <s v="Beverages"/>
    <n v="40"/>
    <x v="5"/>
    <n v="400"/>
    <x v="1"/>
    <s v="Mr."/>
    <s v="Night"/>
  </r>
  <r>
    <n v="532"/>
    <x v="1"/>
    <x v="3"/>
    <s v="Fastfood"/>
    <n v="20"/>
    <x v="0"/>
    <n v="260"/>
    <x v="2"/>
    <s v="Mrs."/>
    <s v="Midnight"/>
  </r>
  <r>
    <n v="533"/>
    <x v="1"/>
    <x v="4"/>
    <s v="Fastfood"/>
    <n v="50"/>
    <x v="13"/>
    <n v="100"/>
    <x v="0"/>
    <s v="Mrs."/>
    <s v="Night"/>
  </r>
  <r>
    <n v="534"/>
    <x v="0"/>
    <x v="1"/>
    <s v="Fastfood"/>
    <n v="20"/>
    <x v="13"/>
    <n v="40"/>
    <x v="2"/>
    <s v="Mrs."/>
    <s v="Night"/>
  </r>
  <r>
    <n v="535"/>
    <x v="0"/>
    <x v="5"/>
    <s v="Fastfood"/>
    <n v="60"/>
    <x v="9"/>
    <n v="240"/>
    <x v="2"/>
    <s v="Mr."/>
    <s v="Midnight"/>
  </r>
  <r>
    <n v="536"/>
    <x v="1"/>
    <x v="2"/>
    <s v="Beverages"/>
    <n v="25"/>
    <x v="14"/>
    <n v="175"/>
    <x v="1"/>
    <s v="Mrs."/>
    <s v="Evening"/>
  </r>
  <r>
    <n v="537"/>
    <x v="1"/>
    <x v="3"/>
    <s v="Fastfood"/>
    <n v="20"/>
    <x v="10"/>
    <n v="60"/>
    <x v="1"/>
    <s v="Mr."/>
    <s v="Evening"/>
  </r>
  <r>
    <n v="538"/>
    <x v="0"/>
    <x v="3"/>
    <s v="Fastfood"/>
    <n v="20"/>
    <x v="14"/>
    <n v="140"/>
    <x v="2"/>
    <s v="Mr."/>
    <s v="Morning"/>
  </r>
  <r>
    <n v="539"/>
    <x v="0"/>
    <x v="3"/>
    <s v="Fastfood"/>
    <n v="20"/>
    <x v="10"/>
    <n v="60"/>
    <x v="2"/>
    <s v="Mr."/>
    <s v="Evening"/>
  </r>
  <r>
    <n v="540"/>
    <x v="0"/>
    <x v="1"/>
    <s v="Fastfood"/>
    <n v="20"/>
    <x v="0"/>
    <n v="260"/>
    <x v="1"/>
    <s v="Mr."/>
    <s v="Afternoon"/>
  </r>
  <r>
    <n v="541"/>
    <x v="0"/>
    <x v="3"/>
    <s v="Fastfood"/>
    <n v="20"/>
    <x v="12"/>
    <n v="240"/>
    <x v="1"/>
    <s v="Mr."/>
    <s v="Night"/>
  </r>
  <r>
    <n v="542"/>
    <x v="0"/>
    <x v="2"/>
    <s v="Beverages"/>
    <n v="25"/>
    <x v="6"/>
    <n v="225"/>
    <x v="1"/>
    <s v="Mr."/>
    <s v="Evening"/>
  </r>
  <r>
    <n v="543"/>
    <x v="0"/>
    <x v="0"/>
    <s v="Fastfood"/>
    <n v="20"/>
    <x v="1"/>
    <n v="300"/>
    <x v="1"/>
    <s v="Mrs."/>
    <s v="Evening"/>
  </r>
  <r>
    <n v="544"/>
    <x v="0"/>
    <x v="5"/>
    <s v="Fastfood"/>
    <n v="60"/>
    <x v="1"/>
    <n v="900"/>
    <x v="2"/>
    <s v="Mrs."/>
    <s v="Morning"/>
  </r>
  <r>
    <n v="545"/>
    <x v="1"/>
    <x v="5"/>
    <s v="Fastfood"/>
    <n v="60"/>
    <x v="0"/>
    <n v="780"/>
    <x v="2"/>
    <s v="Mrs."/>
    <s v="Midnight"/>
  </r>
  <r>
    <n v="546"/>
    <x v="0"/>
    <x v="0"/>
    <s v="Fastfood"/>
    <n v="20"/>
    <x v="2"/>
    <n v="20"/>
    <x v="1"/>
    <s v="Mrs."/>
    <s v="Midnight"/>
  </r>
  <r>
    <n v="547"/>
    <x v="0"/>
    <x v="6"/>
    <s v="Beverages"/>
    <n v="40"/>
    <x v="5"/>
    <n v="400"/>
    <x v="2"/>
    <s v="Mr."/>
    <s v="Morning"/>
  </r>
  <r>
    <n v="548"/>
    <x v="1"/>
    <x v="6"/>
    <s v="Beverages"/>
    <n v="40"/>
    <x v="7"/>
    <n v="560"/>
    <x v="1"/>
    <s v="Mr."/>
    <s v="Afternoon"/>
  </r>
  <r>
    <n v="549"/>
    <x v="0"/>
    <x v="2"/>
    <s v="Beverages"/>
    <n v="25"/>
    <x v="10"/>
    <n v="75"/>
    <x v="2"/>
    <s v="Mr."/>
    <s v="Afternoon"/>
  </r>
  <r>
    <n v="550"/>
    <x v="0"/>
    <x v="6"/>
    <s v="Beverages"/>
    <n v="40"/>
    <x v="1"/>
    <n v="600"/>
    <x v="2"/>
    <s v="Mr."/>
    <s v="Afternoon"/>
  </r>
  <r>
    <n v="551"/>
    <x v="0"/>
    <x v="2"/>
    <s v="Beverages"/>
    <n v="25"/>
    <x v="14"/>
    <n v="175"/>
    <x v="1"/>
    <s v="Mr."/>
    <s v="Evening"/>
  </r>
  <r>
    <n v="552"/>
    <x v="0"/>
    <x v="2"/>
    <s v="Beverages"/>
    <n v="25"/>
    <x v="1"/>
    <n v="375"/>
    <x v="1"/>
    <s v="Mrs."/>
    <s v="Midnight"/>
  </r>
  <r>
    <n v="553"/>
    <x v="0"/>
    <x v="3"/>
    <s v="Fastfood"/>
    <n v="20"/>
    <x v="7"/>
    <n v="280"/>
    <x v="1"/>
    <s v="Mr."/>
    <s v="Evening"/>
  </r>
  <r>
    <n v="554"/>
    <x v="1"/>
    <x v="3"/>
    <s v="Fastfood"/>
    <n v="20"/>
    <x v="9"/>
    <n v="80"/>
    <x v="1"/>
    <s v="Mrs."/>
    <s v="Afternoon"/>
  </r>
  <r>
    <n v="555"/>
    <x v="0"/>
    <x v="5"/>
    <s v="Fastfood"/>
    <n v="60"/>
    <x v="3"/>
    <n v="360"/>
    <x v="1"/>
    <s v="Mrs."/>
    <s v="Evening"/>
  </r>
  <r>
    <n v="556"/>
    <x v="1"/>
    <x v="1"/>
    <s v="Fastfood"/>
    <n v="20"/>
    <x v="6"/>
    <n v="180"/>
    <x v="1"/>
    <s v="Mrs."/>
    <s v="Night"/>
  </r>
  <r>
    <n v="557"/>
    <x v="0"/>
    <x v="5"/>
    <s v="Fastfood"/>
    <n v="60"/>
    <x v="13"/>
    <n v="120"/>
    <x v="1"/>
    <s v="Mrs."/>
    <s v="Evening"/>
  </r>
  <r>
    <n v="558"/>
    <x v="0"/>
    <x v="3"/>
    <s v="Fastfood"/>
    <n v="20"/>
    <x v="8"/>
    <n v="100"/>
    <x v="2"/>
    <s v="Mr."/>
    <s v="Morning"/>
  </r>
  <r>
    <n v="559"/>
    <x v="0"/>
    <x v="6"/>
    <s v="Beverages"/>
    <n v="40"/>
    <x v="8"/>
    <n v="200"/>
    <x v="2"/>
    <s v="Mrs."/>
    <s v="Night"/>
  </r>
  <r>
    <n v="560"/>
    <x v="0"/>
    <x v="2"/>
    <s v="Beverages"/>
    <n v="25"/>
    <x v="2"/>
    <n v="25"/>
    <x v="1"/>
    <s v="Mr."/>
    <s v="Evening"/>
  </r>
  <r>
    <n v="561"/>
    <x v="0"/>
    <x v="3"/>
    <s v="Fastfood"/>
    <n v="20"/>
    <x v="2"/>
    <n v="20"/>
    <x v="1"/>
    <s v="Mrs."/>
    <s v="Midnight"/>
  </r>
  <r>
    <n v="562"/>
    <x v="0"/>
    <x v="4"/>
    <s v="Fastfood"/>
    <n v="50"/>
    <x v="9"/>
    <n v="200"/>
    <x v="1"/>
    <s v="Mr."/>
    <s v="Afternoon"/>
  </r>
  <r>
    <n v="563"/>
    <x v="0"/>
    <x v="4"/>
    <s v="Fastfood"/>
    <n v="50"/>
    <x v="14"/>
    <n v="350"/>
    <x v="2"/>
    <s v="Mrs."/>
    <s v="Evening"/>
  </r>
  <r>
    <n v="564"/>
    <x v="0"/>
    <x v="6"/>
    <s v="Beverages"/>
    <n v="40"/>
    <x v="13"/>
    <n v="80"/>
    <x v="0"/>
    <s v="Mr."/>
    <s v="Morning"/>
  </r>
  <r>
    <n v="565"/>
    <x v="0"/>
    <x v="3"/>
    <s v="Fastfood"/>
    <n v="20"/>
    <x v="1"/>
    <n v="300"/>
    <x v="1"/>
    <s v="Mr."/>
    <s v="Evening"/>
  </r>
  <r>
    <n v="566"/>
    <x v="0"/>
    <x v="4"/>
    <s v="Fastfood"/>
    <n v="50"/>
    <x v="10"/>
    <n v="150"/>
    <x v="1"/>
    <s v="Mr."/>
    <s v="Evening"/>
  </r>
  <r>
    <n v="567"/>
    <x v="0"/>
    <x v="6"/>
    <s v="Beverages"/>
    <n v="40"/>
    <x v="14"/>
    <n v="280"/>
    <x v="2"/>
    <s v="Mrs."/>
    <s v="Afternoon"/>
  </r>
  <r>
    <n v="568"/>
    <x v="0"/>
    <x v="3"/>
    <s v="Fastfood"/>
    <n v="20"/>
    <x v="12"/>
    <n v="240"/>
    <x v="0"/>
    <s v="Mrs."/>
    <s v="Afternoon"/>
  </r>
  <r>
    <n v="569"/>
    <x v="1"/>
    <x v="6"/>
    <s v="Beverages"/>
    <n v="40"/>
    <x v="1"/>
    <n v="600"/>
    <x v="2"/>
    <s v="Mrs."/>
    <s v="Midnight"/>
  </r>
  <r>
    <n v="570"/>
    <x v="0"/>
    <x v="2"/>
    <s v="Beverages"/>
    <n v="25"/>
    <x v="9"/>
    <n v="100"/>
    <x v="1"/>
    <s v="Mr."/>
    <s v="Morning"/>
  </r>
  <r>
    <n v="571"/>
    <x v="0"/>
    <x v="2"/>
    <s v="Beverages"/>
    <n v="25"/>
    <x v="2"/>
    <n v="25"/>
    <x v="1"/>
    <s v="Mrs."/>
    <s v="Evening"/>
  </r>
  <r>
    <n v="572"/>
    <x v="0"/>
    <x v="5"/>
    <s v="Fastfood"/>
    <n v="60"/>
    <x v="1"/>
    <n v="900"/>
    <x v="1"/>
    <s v="Mr."/>
    <s v="Afternoon"/>
  </r>
  <r>
    <n v="573"/>
    <x v="0"/>
    <x v="4"/>
    <s v="Fastfood"/>
    <n v="50"/>
    <x v="13"/>
    <n v="100"/>
    <x v="1"/>
    <s v="Mr."/>
    <s v="Afternoon"/>
  </r>
  <r>
    <n v="574"/>
    <x v="0"/>
    <x v="0"/>
    <s v="Fastfood"/>
    <n v="20"/>
    <x v="2"/>
    <n v="20"/>
    <x v="1"/>
    <s v="Mrs."/>
    <s v="Night"/>
  </r>
  <r>
    <n v="575"/>
    <x v="0"/>
    <x v="1"/>
    <s v="Fastfood"/>
    <n v="20"/>
    <x v="2"/>
    <n v="20"/>
    <x v="2"/>
    <s v="Mrs."/>
    <s v="Midnight"/>
  </r>
  <r>
    <n v="576"/>
    <x v="1"/>
    <x v="3"/>
    <s v="Fastfood"/>
    <n v="20"/>
    <x v="12"/>
    <n v="240"/>
    <x v="1"/>
    <s v="Mrs."/>
    <s v="Afternoon"/>
  </r>
  <r>
    <n v="577"/>
    <x v="0"/>
    <x v="6"/>
    <s v="Beverages"/>
    <n v="40"/>
    <x v="14"/>
    <n v="280"/>
    <x v="1"/>
    <s v="Mr."/>
    <s v="Evening"/>
  </r>
  <r>
    <n v="578"/>
    <x v="0"/>
    <x v="4"/>
    <s v="Fastfood"/>
    <n v="50"/>
    <x v="8"/>
    <n v="250"/>
    <x v="2"/>
    <s v="Mrs."/>
    <s v="Night"/>
  </r>
  <r>
    <n v="579"/>
    <x v="0"/>
    <x v="3"/>
    <s v="Fastfood"/>
    <n v="20"/>
    <x v="13"/>
    <n v="40"/>
    <x v="1"/>
    <s v="Mr."/>
    <s v="Evening"/>
  </r>
  <r>
    <n v="580"/>
    <x v="0"/>
    <x v="3"/>
    <s v="Fastfood"/>
    <n v="20"/>
    <x v="5"/>
    <n v="200"/>
    <x v="2"/>
    <s v="Mr."/>
    <s v="Night"/>
  </r>
  <r>
    <n v="581"/>
    <x v="0"/>
    <x v="2"/>
    <s v="Beverages"/>
    <n v="25"/>
    <x v="0"/>
    <n v="325"/>
    <x v="1"/>
    <s v="Mr."/>
    <s v="Afternoon"/>
  </r>
  <r>
    <n v="582"/>
    <x v="0"/>
    <x v="0"/>
    <s v="Fastfood"/>
    <n v="20"/>
    <x v="0"/>
    <n v="260"/>
    <x v="1"/>
    <s v="Mr."/>
    <s v="Morning"/>
  </r>
  <r>
    <n v="583"/>
    <x v="0"/>
    <x v="4"/>
    <s v="Fastfood"/>
    <n v="50"/>
    <x v="4"/>
    <n v="400"/>
    <x v="1"/>
    <s v="Mr."/>
    <s v="Night"/>
  </r>
  <r>
    <n v="584"/>
    <x v="0"/>
    <x v="6"/>
    <s v="Beverages"/>
    <n v="40"/>
    <x v="1"/>
    <n v="600"/>
    <x v="1"/>
    <s v="Mr."/>
    <s v="Morning"/>
  </r>
  <r>
    <n v="585"/>
    <x v="1"/>
    <x v="1"/>
    <s v="Fastfood"/>
    <n v="20"/>
    <x v="11"/>
    <n v="220"/>
    <x v="1"/>
    <s v="Mrs."/>
    <s v="Morning"/>
  </r>
  <r>
    <n v="586"/>
    <x v="0"/>
    <x v="5"/>
    <s v="Fastfood"/>
    <n v="60"/>
    <x v="1"/>
    <n v="900"/>
    <x v="2"/>
    <s v="Mr."/>
    <s v="Night"/>
  </r>
  <r>
    <n v="587"/>
    <x v="0"/>
    <x v="0"/>
    <s v="Fastfood"/>
    <n v="20"/>
    <x v="5"/>
    <n v="200"/>
    <x v="1"/>
    <s v="Mrs."/>
    <s v="Night"/>
  </r>
  <r>
    <n v="588"/>
    <x v="0"/>
    <x v="4"/>
    <s v="Fastfood"/>
    <n v="50"/>
    <x v="11"/>
    <n v="550"/>
    <x v="1"/>
    <s v="Mrs."/>
    <s v="Morning"/>
  </r>
  <r>
    <n v="589"/>
    <x v="0"/>
    <x v="6"/>
    <s v="Beverages"/>
    <n v="40"/>
    <x v="8"/>
    <n v="200"/>
    <x v="1"/>
    <s v="Mr."/>
    <s v="Night"/>
  </r>
  <r>
    <n v="590"/>
    <x v="1"/>
    <x v="3"/>
    <s v="Fastfood"/>
    <n v="20"/>
    <x v="1"/>
    <n v="300"/>
    <x v="2"/>
    <s v="Mr."/>
    <s v="Midnight"/>
  </r>
  <r>
    <n v="591"/>
    <x v="0"/>
    <x v="5"/>
    <s v="Fastfood"/>
    <n v="60"/>
    <x v="0"/>
    <n v="780"/>
    <x v="1"/>
    <s v="Mrs."/>
    <s v="Morning"/>
  </r>
  <r>
    <n v="592"/>
    <x v="0"/>
    <x v="2"/>
    <s v="Beverages"/>
    <n v="25"/>
    <x v="14"/>
    <n v="175"/>
    <x v="1"/>
    <s v="Mr."/>
    <s v="Morning"/>
  </r>
  <r>
    <n v="593"/>
    <x v="1"/>
    <x v="2"/>
    <s v="Beverages"/>
    <n v="25"/>
    <x v="6"/>
    <n v="225"/>
    <x v="1"/>
    <s v="Mrs."/>
    <s v="Evening"/>
  </r>
  <r>
    <n v="594"/>
    <x v="1"/>
    <x v="4"/>
    <s v="Fastfood"/>
    <n v="50"/>
    <x v="3"/>
    <n v="300"/>
    <x v="1"/>
    <s v="Mrs."/>
    <s v="Morning"/>
  </r>
  <r>
    <n v="595"/>
    <x v="1"/>
    <x v="4"/>
    <s v="Fastfood"/>
    <n v="50"/>
    <x v="6"/>
    <n v="450"/>
    <x v="2"/>
    <s v="Mr."/>
    <s v="Afternoon"/>
  </r>
  <r>
    <n v="596"/>
    <x v="0"/>
    <x v="6"/>
    <s v="Beverages"/>
    <n v="40"/>
    <x v="2"/>
    <n v="40"/>
    <x v="2"/>
    <s v="Mrs."/>
    <s v="Night"/>
  </r>
  <r>
    <n v="597"/>
    <x v="0"/>
    <x v="3"/>
    <s v="Fastfood"/>
    <n v="20"/>
    <x v="5"/>
    <n v="200"/>
    <x v="2"/>
    <s v="Mr."/>
    <s v="Midnight"/>
  </r>
  <r>
    <n v="598"/>
    <x v="0"/>
    <x v="6"/>
    <s v="Beverages"/>
    <n v="40"/>
    <x v="4"/>
    <n v="320"/>
    <x v="1"/>
    <s v="Mrs."/>
    <s v="Afternoon"/>
  </r>
  <r>
    <n v="599"/>
    <x v="0"/>
    <x v="4"/>
    <s v="Fastfood"/>
    <n v="50"/>
    <x v="0"/>
    <n v="650"/>
    <x v="1"/>
    <s v="Mr."/>
    <s v="Morning"/>
  </r>
  <r>
    <n v="600"/>
    <x v="0"/>
    <x v="3"/>
    <s v="Fastfood"/>
    <n v="20"/>
    <x v="3"/>
    <n v="120"/>
    <x v="1"/>
    <s v="Mrs."/>
    <s v="Morning"/>
  </r>
  <r>
    <n v="601"/>
    <x v="0"/>
    <x v="0"/>
    <s v="Fastfood"/>
    <n v="20"/>
    <x v="12"/>
    <n v="240"/>
    <x v="2"/>
    <s v="Mr."/>
    <s v="Morning"/>
  </r>
  <r>
    <n v="602"/>
    <x v="0"/>
    <x v="0"/>
    <s v="Fastfood"/>
    <n v="20"/>
    <x v="5"/>
    <n v="200"/>
    <x v="1"/>
    <s v="Mr."/>
    <s v="Night"/>
  </r>
  <r>
    <n v="603"/>
    <x v="0"/>
    <x v="1"/>
    <s v="Fastfood"/>
    <n v="20"/>
    <x v="5"/>
    <n v="200"/>
    <x v="1"/>
    <s v="Mrs."/>
    <s v="Afternoon"/>
  </r>
  <r>
    <n v="604"/>
    <x v="0"/>
    <x v="4"/>
    <s v="Fastfood"/>
    <n v="50"/>
    <x v="5"/>
    <n v="500"/>
    <x v="1"/>
    <s v="Mrs."/>
    <s v="Night"/>
  </r>
  <r>
    <n v="605"/>
    <x v="0"/>
    <x v="6"/>
    <s v="Beverages"/>
    <n v="40"/>
    <x v="1"/>
    <n v="600"/>
    <x v="0"/>
    <s v="Mrs."/>
    <s v="Afternoon"/>
  </r>
  <r>
    <n v="606"/>
    <x v="0"/>
    <x v="6"/>
    <s v="Beverages"/>
    <n v="40"/>
    <x v="3"/>
    <n v="240"/>
    <x v="1"/>
    <s v="Mrs."/>
    <s v="Night"/>
  </r>
  <r>
    <n v="607"/>
    <x v="0"/>
    <x v="1"/>
    <s v="Fastfood"/>
    <n v="20"/>
    <x v="6"/>
    <n v="180"/>
    <x v="1"/>
    <s v="Mrs."/>
    <s v="Afternoon"/>
  </r>
  <r>
    <n v="608"/>
    <x v="1"/>
    <x v="0"/>
    <s v="Fastfood"/>
    <n v="20"/>
    <x v="2"/>
    <n v="20"/>
    <x v="2"/>
    <s v="Mr."/>
    <s v="Midnight"/>
  </r>
  <r>
    <n v="609"/>
    <x v="1"/>
    <x v="0"/>
    <s v="Fastfood"/>
    <n v="20"/>
    <x v="7"/>
    <n v="280"/>
    <x v="0"/>
    <s v="Mr."/>
    <s v="Midnight"/>
  </r>
  <r>
    <n v="610"/>
    <x v="0"/>
    <x v="4"/>
    <s v="Fastfood"/>
    <n v="50"/>
    <x v="0"/>
    <n v="650"/>
    <x v="2"/>
    <s v="Mrs."/>
    <s v="Evening"/>
  </r>
  <r>
    <n v="611"/>
    <x v="0"/>
    <x v="0"/>
    <s v="Fastfood"/>
    <n v="20"/>
    <x v="13"/>
    <n v="40"/>
    <x v="2"/>
    <s v="Mrs."/>
    <s v="Morning"/>
  </r>
  <r>
    <n v="612"/>
    <x v="1"/>
    <x v="0"/>
    <s v="Fastfood"/>
    <n v="20"/>
    <x v="10"/>
    <n v="60"/>
    <x v="2"/>
    <s v="Mr."/>
    <s v="Midnight"/>
  </r>
  <r>
    <n v="613"/>
    <x v="0"/>
    <x v="1"/>
    <s v="Fastfood"/>
    <n v="20"/>
    <x v="8"/>
    <n v="100"/>
    <x v="2"/>
    <s v="Mrs."/>
    <s v="Night"/>
  </r>
  <r>
    <n v="614"/>
    <x v="0"/>
    <x v="1"/>
    <s v="Fastfood"/>
    <n v="20"/>
    <x v="13"/>
    <n v="40"/>
    <x v="0"/>
    <s v="Mr."/>
    <s v="Morning"/>
  </r>
  <r>
    <n v="615"/>
    <x v="0"/>
    <x v="5"/>
    <s v="Fastfood"/>
    <n v="60"/>
    <x v="7"/>
    <n v="840"/>
    <x v="0"/>
    <s v="Mr."/>
    <s v="Morning"/>
  </r>
  <r>
    <n v="616"/>
    <x v="0"/>
    <x v="1"/>
    <s v="Fastfood"/>
    <n v="20"/>
    <x v="3"/>
    <n v="120"/>
    <x v="2"/>
    <s v="Mrs."/>
    <s v="Midnight"/>
  </r>
  <r>
    <n v="617"/>
    <x v="0"/>
    <x v="2"/>
    <s v="Beverages"/>
    <n v="25"/>
    <x v="13"/>
    <n v="50"/>
    <x v="1"/>
    <s v="Mr."/>
    <s v="Night"/>
  </r>
  <r>
    <n v="618"/>
    <x v="0"/>
    <x v="4"/>
    <s v="Fastfood"/>
    <n v="50"/>
    <x v="2"/>
    <n v="50"/>
    <x v="2"/>
    <s v="Mr."/>
    <s v="Evening"/>
  </r>
  <r>
    <n v="619"/>
    <x v="0"/>
    <x v="2"/>
    <s v="Beverages"/>
    <n v="25"/>
    <x v="9"/>
    <n v="100"/>
    <x v="1"/>
    <s v="Mrs."/>
    <s v="Morning"/>
  </r>
  <r>
    <n v="620"/>
    <x v="0"/>
    <x v="3"/>
    <s v="Fastfood"/>
    <n v="20"/>
    <x v="12"/>
    <n v="240"/>
    <x v="2"/>
    <s v="Mrs."/>
    <s v="Evening"/>
  </r>
  <r>
    <n v="621"/>
    <x v="1"/>
    <x v="0"/>
    <s v="Fastfood"/>
    <n v="20"/>
    <x v="13"/>
    <n v="40"/>
    <x v="2"/>
    <s v="Mrs."/>
    <s v="Evening"/>
  </r>
  <r>
    <n v="622"/>
    <x v="0"/>
    <x v="3"/>
    <s v="Fastfood"/>
    <n v="20"/>
    <x v="0"/>
    <n v="260"/>
    <x v="2"/>
    <s v="Mr."/>
    <s v="Afternoon"/>
  </r>
  <r>
    <n v="623"/>
    <x v="0"/>
    <x v="6"/>
    <s v="Beverages"/>
    <n v="40"/>
    <x v="1"/>
    <n v="600"/>
    <x v="1"/>
    <s v="Mr."/>
    <s v="Midnight"/>
  </r>
  <r>
    <n v="624"/>
    <x v="1"/>
    <x v="5"/>
    <s v="Fastfood"/>
    <n v="60"/>
    <x v="6"/>
    <n v="540"/>
    <x v="1"/>
    <s v="Mrs."/>
    <s v="Morning"/>
  </r>
  <r>
    <n v="625"/>
    <x v="0"/>
    <x v="5"/>
    <s v="Fastfood"/>
    <n v="60"/>
    <x v="1"/>
    <n v="900"/>
    <x v="2"/>
    <s v="Mr."/>
    <s v="Morning"/>
  </r>
  <r>
    <n v="626"/>
    <x v="1"/>
    <x v="6"/>
    <s v="Beverages"/>
    <n v="40"/>
    <x v="1"/>
    <n v="600"/>
    <x v="1"/>
    <s v="Mr."/>
    <s v="Night"/>
  </r>
  <r>
    <n v="627"/>
    <x v="0"/>
    <x v="2"/>
    <s v="Beverages"/>
    <n v="25"/>
    <x v="1"/>
    <n v="375"/>
    <x v="2"/>
    <s v="Mr."/>
    <s v="Afternoon"/>
  </r>
  <r>
    <n v="628"/>
    <x v="0"/>
    <x v="6"/>
    <s v="Beverages"/>
    <n v="40"/>
    <x v="5"/>
    <n v="400"/>
    <x v="0"/>
    <s v="Mrs."/>
    <s v="Night"/>
  </r>
  <r>
    <n v="629"/>
    <x v="1"/>
    <x v="2"/>
    <s v="Beverages"/>
    <n v="25"/>
    <x v="6"/>
    <n v="225"/>
    <x v="1"/>
    <s v="Mrs."/>
    <s v="Evening"/>
  </r>
  <r>
    <n v="630"/>
    <x v="0"/>
    <x v="4"/>
    <s v="Fastfood"/>
    <n v="50"/>
    <x v="14"/>
    <n v="350"/>
    <x v="0"/>
    <s v="Mrs."/>
    <s v="Morning"/>
  </r>
  <r>
    <n v="631"/>
    <x v="0"/>
    <x v="6"/>
    <s v="Beverages"/>
    <n v="40"/>
    <x v="0"/>
    <n v="520"/>
    <x v="1"/>
    <s v="Mrs."/>
    <s v="Evening"/>
  </r>
  <r>
    <n v="632"/>
    <x v="0"/>
    <x v="3"/>
    <s v="Fastfood"/>
    <n v="20"/>
    <x v="6"/>
    <n v="180"/>
    <x v="2"/>
    <s v="Mrs."/>
    <s v="Night"/>
  </r>
  <r>
    <n v="633"/>
    <x v="0"/>
    <x v="6"/>
    <s v="Beverages"/>
    <n v="40"/>
    <x v="10"/>
    <n v="120"/>
    <x v="2"/>
    <s v="Mr."/>
    <s v="Evening"/>
  </r>
  <r>
    <n v="634"/>
    <x v="0"/>
    <x v="3"/>
    <s v="Fastfood"/>
    <n v="20"/>
    <x v="0"/>
    <n v="260"/>
    <x v="1"/>
    <s v="Mr."/>
    <s v="Afternoon"/>
  </r>
  <r>
    <n v="635"/>
    <x v="1"/>
    <x v="1"/>
    <s v="Fastfood"/>
    <n v="20"/>
    <x v="1"/>
    <n v="300"/>
    <x v="2"/>
    <s v="Mrs."/>
    <s v="Night"/>
  </r>
  <r>
    <n v="636"/>
    <x v="0"/>
    <x v="6"/>
    <s v="Beverages"/>
    <n v="40"/>
    <x v="12"/>
    <n v="480"/>
    <x v="0"/>
    <s v="Mr."/>
    <s v="Morning"/>
  </r>
  <r>
    <n v="637"/>
    <x v="0"/>
    <x v="0"/>
    <s v="Fastfood"/>
    <n v="20"/>
    <x v="14"/>
    <n v="140"/>
    <x v="1"/>
    <s v="Mr."/>
    <s v="Midnight"/>
  </r>
  <r>
    <n v="638"/>
    <x v="0"/>
    <x v="6"/>
    <s v="Beverages"/>
    <n v="40"/>
    <x v="11"/>
    <n v="440"/>
    <x v="2"/>
    <s v="Mrs."/>
    <s v="Afternoon"/>
  </r>
  <r>
    <n v="639"/>
    <x v="1"/>
    <x v="1"/>
    <s v="Fastfood"/>
    <n v="20"/>
    <x v="7"/>
    <n v="280"/>
    <x v="1"/>
    <s v="Mrs."/>
    <s v="Morning"/>
  </r>
  <r>
    <n v="640"/>
    <x v="1"/>
    <x v="5"/>
    <s v="Fastfood"/>
    <n v="60"/>
    <x v="1"/>
    <n v="900"/>
    <x v="2"/>
    <s v="Mr."/>
    <s v="Night"/>
  </r>
  <r>
    <n v="641"/>
    <x v="1"/>
    <x v="1"/>
    <s v="Fastfood"/>
    <n v="20"/>
    <x v="1"/>
    <n v="300"/>
    <x v="1"/>
    <s v="Mr."/>
    <s v="Afternoon"/>
  </r>
  <r>
    <n v="642"/>
    <x v="0"/>
    <x v="6"/>
    <s v="Beverages"/>
    <n v="40"/>
    <x v="5"/>
    <n v="400"/>
    <x v="2"/>
    <s v="Mrs."/>
    <s v="Morning"/>
  </r>
  <r>
    <n v="643"/>
    <x v="0"/>
    <x v="2"/>
    <s v="Beverages"/>
    <n v="25"/>
    <x v="13"/>
    <n v="50"/>
    <x v="1"/>
    <s v="Mr."/>
    <s v="Afternoon"/>
  </r>
  <r>
    <n v="644"/>
    <x v="1"/>
    <x v="3"/>
    <s v="Fastfood"/>
    <n v="20"/>
    <x v="8"/>
    <n v="100"/>
    <x v="2"/>
    <s v="Mrs."/>
    <s v="Evening"/>
  </r>
  <r>
    <n v="645"/>
    <x v="0"/>
    <x v="5"/>
    <s v="Fastfood"/>
    <n v="60"/>
    <x v="6"/>
    <n v="540"/>
    <x v="1"/>
    <s v="Mrs."/>
    <s v="Night"/>
  </r>
  <r>
    <n v="646"/>
    <x v="0"/>
    <x v="1"/>
    <s v="Fastfood"/>
    <n v="20"/>
    <x v="7"/>
    <n v="280"/>
    <x v="2"/>
    <s v="Mrs."/>
    <s v="Afternoon"/>
  </r>
  <r>
    <n v="647"/>
    <x v="0"/>
    <x v="1"/>
    <s v="Fastfood"/>
    <n v="20"/>
    <x v="10"/>
    <n v="60"/>
    <x v="1"/>
    <s v="Mr."/>
    <s v="Afternoon"/>
  </r>
  <r>
    <n v="648"/>
    <x v="0"/>
    <x v="5"/>
    <s v="Fastfood"/>
    <n v="60"/>
    <x v="14"/>
    <n v="420"/>
    <x v="1"/>
    <s v="Mr."/>
    <s v="Night"/>
  </r>
  <r>
    <n v="649"/>
    <x v="0"/>
    <x v="4"/>
    <s v="Fastfood"/>
    <n v="50"/>
    <x v="6"/>
    <n v="450"/>
    <x v="1"/>
    <s v="Mr."/>
    <s v="Midnight"/>
  </r>
  <r>
    <n v="650"/>
    <x v="0"/>
    <x v="5"/>
    <s v="Fastfood"/>
    <n v="60"/>
    <x v="0"/>
    <n v="780"/>
    <x v="2"/>
    <s v="Mrs."/>
    <s v="Morning"/>
  </r>
  <r>
    <n v="651"/>
    <x v="0"/>
    <x v="5"/>
    <s v="Fastfood"/>
    <n v="60"/>
    <x v="5"/>
    <n v="600"/>
    <x v="2"/>
    <s v="Mrs."/>
    <s v="Midnight"/>
  </r>
  <r>
    <n v="652"/>
    <x v="0"/>
    <x v="6"/>
    <s v="Beverages"/>
    <n v="40"/>
    <x v="0"/>
    <n v="520"/>
    <x v="2"/>
    <s v="Mrs."/>
    <s v="Afternoon"/>
  </r>
  <r>
    <n v="653"/>
    <x v="0"/>
    <x v="4"/>
    <s v="Fastfood"/>
    <n v="50"/>
    <x v="5"/>
    <n v="500"/>
    <x v="2"/>
    <s v="Mrs."/>
    <s v="Midnight"/>
  </r>
  <r>
    <n v="654"/>
    <x v="1"/>
    <x v="1"/>
    <s v="Fastfood"/>
    <n v="20"/>
    <x v="6"/>
    <n v="180"/>
    <x v="1"/>
    <s v="Mrs."/>
    <s v="Morning"/>
  </r>
  <r>
    <n v="655"/>
    <x v="0"/>
    <x v="2"/>
    <s v="Beverages"/>
    <n v="25"/>
    <x v="12"/>
    <n v="300"/>
    <x v="2"/>
    <s v="Mr."/>
    <s v="Morning"/>
  </r>
  <r>
    <n v="656"/>
    <x v="0"/>
    <x v="5"/>
    <s v="Fastfood"/>
    <n v="60"/>
    <x v="3"/>
    <n v="360"/>
    <x v="2"/>
    <s v="Mrs."/>
    <s v="Midnight"/>
  </r>
  <r>
    <n v="657"/>
    <x v="1"/>
    <x v="6"/>
    <s v="Beverages"/>
    <n v="40"/>
    <x v="14"/>
    <n v="280"/>
    <x v="0"/>
    <s v="Mr."/>
    <s v="Midnight"/>
  </r>
  <r>
    <n v="658"/>
    <x v="0"/>
    <x v="0"/>
    <s v="Fastfood"/>
    <n v="20"/>
    <x v="12"/>
    <n v="240"/>
    <x v="0"/>
    <s v="Mrs."/>
    <s v="Afternoon"/>
  </r>
  <r>
    <n v="659"/>
    <x v="1"/>
    <x v="3"/>
    <s v="Fastfood"/>
    <n v="20"/>
    <x v="13"/>
    <n v="40"/>
    <x v="2"/>
    <s v="Mr."/>
    <s v="Afternoon"/>
  </r>
  <r>
    <n v="660"/>
    <x v="0"/>
    <x v="5"/>
    <s v="Fastfood"/>
    <n v="60"/>
    <x v="6"/>
    <n v="540"/>
    <x v="1"/>
    <s v="Mrs."/>
    <s v="Night"/>
  </r>
  <r>
    <n v="661"/>
    <x v="0"/>
    <x v="4"/>
    <s v="Fastfood"/>
    <n v="50"/>
    <x v="14"/>
    <n v="350"/>
    <x v="2"/>
    <s v="Mrs."/>
    <s v="Midnight"/>
  </r>
  <r>
    <n v="662"/>
    <x v="1"/>
    <x v="3"/>
    <s v="Fastfood"/>
    <n v="20"/>
    <x v="10"/>
    <n v="60"/>
    <x v="2"/>
    <s v="Mrs."/>
    <s v="Afternoon"/>
  </r>
  <r>
    <n v="663"/>
    <x v="1"/>
    <x v="2"/>
    <s v="Beverages"/>
    <n v="25"/>
    <x v="2"/>
    <n v="25"/>
    <x v="2"/>
    <s v="Mr."/>
    <s v="Night"/>
  </r>
  <r>
    <n v="664"/>
    <x v="0"/>
    <x v="4"/>
    <s v="Fastfood"/>
    <n v="50"/>
    <x v="5"/>
    <n v="500"/>
    <x v="2"/>
    <s v="Mrs."/>
    <s v="Morning"/>
  </r>
  <r>
    <n v="665"/>
    <x v="0"/>
    <x v="0"/>
    <s v="Fastfood"/>
    <n v="20"/>
    <x v="7"/>
    <n v="280"/>
    <x v="2"/>
    <s v="Mrs."/>
    <s v="Evening"/>
  </r>
  <r>
    <n v="666"/>
    <x v="1"/>
    <x v="3"/>
    <s v="Fastfood"/>
    <n v="20"/>
    <x v="6"/>
    <n v="180"/>
    <x v="1"/>
    <s v="Mr."/>
    <s v="Evening"/>
  </r>
  <r>
    <n v="667"/>
    <x v="0"/>
    <x v="1"/>
    <s v="Fastfood"/>
    <n v="20"/>
    <x v="10"/>
    <n v="60"/>
    <x v="1"/>
    <s v="Mrs."/>
    <s v="Evening"/>
  </r>
  <r>
    <n v="668"/>
    <x v="0"/>
    <x v="0"/>
    <s v="Fastfood"/>
    <n v="20"/>
    <x v="9"/>
    <n v="80"/>
    <x v="2"/>
    <s v="Mr."/>
    <s v="Morning"/>
  </r>
  <r>
    <n v="669"/>
    <x v="1"/>
    <x v="5"/>
    <s v="Fastfood"/>
    <n v="60"/>
    <x v="11"/>
    <n v="660"/>
    <x v="2"/>
    <s v="Mr."/>
    <s v="Evening"/>
  </r>
  <r>
    <n v="670"/>
    <x v="0"/>
    <x v="3"/>
    <s v="Fastfood"/>
    <n v="20"/>
    <x v="1"/>
    <n v="300"/>
    <x v="1"/>
    <s v="Mr."/>
    <s v="Night"/>
  </r>
  <r>
    <n v="671"/>
    <x v="0"/>
    <x v="5"/>
    <s v="Fastfood"/>
    <n v="60"/>
    <x v="13"/>
    <n v="120"/>
    <x v="2"/>
    <s v="Mr."/>
    <s v="Afternoon"/>
  </r>
  <r>
    <n v="672"/>
    <x v="0"/>
    <x v="6"/>
    <s v="Beverages"/>
    <n v="40"/>
    <x v="10"/>
    <n v="120"/>
    <x v="0"/>
    <s v="Mrs."/>
    <s v="Evening"/>
  </r>
  <r>
    <n v="673"/>
    <x v="0"/>
    <x v="5"/>
    <s v="Fastfood"/>
    <n v="60"/>
    <x v="12"/>
    <n v="720"/>
    <x v="1"/>
    <s v="Mr."/>
    <s v="Midnight"/>
  </r>
  <r>
    <n v="674"/>
    <x v="0"/>
    <x v="2"/>
    <s v="Beverages"/>
    <n v="25"/>
    <x v="0"/>
    <n v="325"/>
    <x v="0"/>
    <s v="Mr."/>
    <s v="Morning"/>
  </r>
  <r>
    <n v="675"/>
    <x v="0"/>
    <x v="5"/>
    <s v="Fastfood"/>
    <n v="60"/>
    <x v="12"/>
    <n v="720"/>
    <x v="1"/>
    <s v="Mr."/>
    <s v="Night"/>
  </r>
  <r>
    <n v="676"/>
    <x v="0"/>
    <x v="4"/>
    <s v="Fastfood"/>
    <n v="50"/>
    <x v="14"/>
    <n v="350"/>
    <x v="1"/>
    <s v="Mrs."/>
    <s v="Evening"/>
  </r>
  <r>
    <n v="677"/>
    <x v="0"/>
    <x v="6"/>
    <s v="Beverages"/>
    <n v="40"/>
    <x v="10"/>
    <n v="120"/>
    <x v="2"/>
    <s v="Mrs."/>
    <s v="Morning"/>
  </r>
  <r>
    <n v="678"/>
    <x v="0"/>
    <x v="0"/>
    <s v="Fastfood"/>
    <n v="20"/>
    <x v="10"/>
    <n v="60"/>
    <x v="2"/>
    <s v="Mr."/>
    <s v="Evening"/>
  </r>
  <r>
    <n v="679"/>
    <x v="0"/>
    <x v="5"/>
    <s v="Fastfood"/>
    <n v="60"/>
    <x v="12"/>
    <n v="720"/>
    <x v="2"/>
    <s v="Mr."/>
    <s v="Morning"/>
  </r>
  <r>
    <n v="680"/>
    <x v="0"/>
    <x v="6"/>
    <s v="Beverages"/>
    <n v="40"/>
    <x v="9"/>
    <n v="160"/>
    <x v="1"/>
    <s v="Mr."/>
    <s v="Night"/>
  </r>
  <r>
    <n v="681"/>
    <x v="0"/>
    <x v="4"/>
    <s v="Fastfood"/>
    <n v="50"/>
    <x v="6"/>
    <n v="450"/>
    <x v="2"/>
    <s v="Mrs."/>
    <s v="Night"/>
  </r>
  <r>
    <n v="682"/>
    <x v="0"/>
    <x v="0"/>
    <s v="Fastfood"/>
    <n v="20"/>
    <x v="7"/>
    <n v="280"/>
    <x v="2"/>
    <s v="Mr."/>
    <s v="Midnight"/>
  </r>
  <r>
    <n v="683"/>
    <x v="0"/>
    <x v="4"/>
    <s v="Fastfood"/>
    <n v="50"/>
    <x v="1"/>
    <n v="750"/>
    <x v="1"/>
    <s v="Mr."/>
    <s v="Midnight"/>
  </r>
  <r>
    <n v="684"/>
    <x v="0"/>
    <x v="1"/>
    <s v="Fastfood"/>
    <n v="20"/>
    <x v="8"/>
    <n v="100"/>
    <x v="1"/>
    <s v="Mr."/>
    <s v="Afternoon"/>
  </r>
  <r>
    <n v="685"/>
    <x v="0"/>
    <x v="0"/>
    <s v="Fastfood"/>
    <n v="20"/>
    <x v="10"/>
    <n v="60"/>
    <x v="1"/>
    <s v="Mrs."/>
    <s v="Afternoon"/>
  </r>
  <r>
    <n v="686"/>
    <x v="0"/>
    <x v="6"/>
    <s v="Beverages"/>
    <n v="40"/>
    <x v="8"/>
    <n v="200"/>
    <x v="1"/>
    <s v="Mr."/>
    <s v="Afternoon"/>
  </r>
  <r>
    <n v="687"/>
    <x v="0"/>
    <x v="1"/>
    <s v="Fastfood"/>
    <n v="20"/>
    <x v="5"/>
    <n v="200"/>
    <x v="1"/>
    <s v="Mrs."/>
    <s v="Midnight"/>
  </r>
  <r>
    <n v="688"/>
    <x v="0"/>
    <x v="4"/>
    <s v="Fastfood"/>
    <n v="50"/>
    <x v="8"/>
    <n v="250"/>
    <x v="2"/>
    <s v="Mr."/>
    <s v="Afternoon"/>
  </r>
  <r>
    <n v="689"/>
    <x v="0"/>
    <x v="1"/>
    <s v="Fastfood"/>
    <n v="20"/>
    <x v="3"/>
    <n v="120"/>
    <x v="1"/>
    <s v="Mrs."/>
    <s v="Afternoon"/>
  </r>
  <r>
    <n v="690"/>
    <x v="0"/>
    <x v="1"/>
    <s v="Fastfood"/>
    <n v="20"/>
    <x v="6"/>
    <n v="180"/>
    <x v="1"/>
    <s v="Mrs."/>
    <s v="Night"/>
  </r>
  <r>
    <n v="691"/>
    <x v="0"/>
    <x v="5"/>
    <s v="Fastfood"/>
    <n v="60"/>
    <x v="14"/>
    <n v="420"/>
    <x v="1"/>
    <s v="Mrs."/>
    <s v="Evening"/>
  </r>
  <r>
    <n v="692"/>
    <x v="1"/>
    <x v="4"/>
    <s v="Fastfood"/>
    <n v="50"/>
    <x v="7"/>
    <n v="700"/>
    <x v="2"/>
    <s v="Mr."/>
    <s v="Afternoon"/>
  </r>
  <r>
    <n v="693"/>
    <x v="0"/>
    <x v="2"/>
    <s v="Beverages"/>
    <n v="25"/>
    <x v="0"/>
    <n v="325"/>
    <x v="2"/>
    <s v="Mrs."/>
    <s v="Midnight"/>
  </r>
  <r>
    <n v="694"/>
    <x v="0"/>
    <x v="3"/>
    <s v="Fastfood"/>
    <n v="20"/>
    <x v="7"/>
    <n v="280"/>
    <x v="1"/>
    <s v="Mr."/>
    <s v="Midnight"/>
  </r>
  <r>
    <n v="695"/>
    <x v="0"/>
    <x v="3"/>
    <s v="Fastfood"/>
    <n v="20"/>
    <x v="5"/>
    <n v="200"/>
    <x v="2"/>
    <s v="Mrs."/>
    <s v="Midnight"/>
  </r>
  <r>
    <n v="696"/>
    <x v="1"/>
    <x v="2"/>
    <s v="Beverages"/>
    <n v="25"/>
    <x v="10"/>
    <n v="75"/>
    <x v="2"/>
    <s v="Mrs."/>
    <s v="Evening"/>
  </r>
  <r>
    <n v="697"/>
    <x v="0"/>
    <x v="2"/>
    <s v="Beverages"/>
    <n v="25"/>
    <x v="8"/>
    <n v="125"/>
    <x v="1"/>
    <s v="Mr."/>
    <s v="Midnight"/>
  </r>
  <r>
    <n v="698"/>
    <x v="0"/>
    <x v="3"/>
    <s v="Fastfood"/>
    <n v="20"/>
    <x v="5"/>
    <n v="200"/>
    <x v="2"/>
    <s v="Mr."/>
    <s v="Night"/>
  </r>
  <r>
    <n v="699"/>
    <x v="0"/>
    <x v="6"/>
    <s v="Beverages"/>
    <n v="40"/>
    <x v="2"/>
    <n v="40"/>
    <x v="2"/>
    <s v="Mr."/>
    <s v="Evening"/>
  </r>
  <r>
    <n v="700"/>
    <x v="0"/>
    <x v="4"/>
    <s v="Fastfood"/>
    <n v="50"/>
    <x v="3"/>
    <n v="300"/>
    <x v="1"/>
    <s v="Mrs."/>
    <s v="Evening"/>
  </r>
  <r>
    <n v="701"/>
    <x v="0"/>
    <x v="2"/>
    <s v="Beverages"/>
    <n v="25"/>
    <x v="7"/>
    <n v="350"/>
    <x v="2"/>
    <s v="Mrs."/>
    <s v="Evening"/>
  </r>
  <r>
    <n v="702"/>
    <x v="1"/>
    <x v="6"/>
    <s v="Beverages"/>
    <n v="40"/>
    <x v="0"/>
    <n v="520"/>
    <x v="1"/>
    <s v="Mrs."/>
    <s v="Afternoon"/>
  </r>
  <r>
    <n v="703"/>
    <x v="0"/>
    <x v="3"/>
    <s v="Fastfood"/>
    <n v="20"/>
    <x v="5"/>
    <n v="200"/>
    <x v="2"/>
    <s v="Mrs."/>
    <s v="Afternoon"/>
  </r>
  <r>
    <n v="704"/>
    <x v="0"/>
    <x v="5"/>
    <s v="Fastfood"/>
    <n v="60"/>
    <x v="2"/>
    <n v="60"/>
    <x v="2"/>
    <s v="Mrs."/>
    <s v="Evening"/>
  </r>
  <r>
    <n v="705"/>
    <x v="0"/>
    <x v="5"/>
    <s v="Fastfood"/>
    <n v="60"/>
    <x v="3"/>
    <n v="360"/>
    <x v="2"/>
    <s v="Mr."/>
    <s v="Evening"/>
  </r>
  <r>
    <n v="706"/>
    <x v="1"/>
    <x v="4"/>
    <s v="Fastfood"/>
    <n v="50"/>
    <x v="4"/>
    <n v="400"/>
    <x v="2"/>
    <s v="Mr."/>
    <s v="Night"/>
  </r>
  <r>
    <n v="707"/>
    <x v="0"/>
    <x v="3"/>
    <s v="Fastfood"/>
    <n v="20"/>
    <x v="13"/>
    <n v="40"/>
    <x v="2"/>
    <s v="Mr."/>
    <s v="Night"/>
  </r>
  <r>
    <n v="708"/>
    <x v="1"/>
    <x v="5"/>
    <s v="Fastfood"/>
    <n v="60"/>
    <x v="8"/>
    <n v="300"/>
    <x v="1"/>
    <s v="Mrs."/>
    <s v="Midnight"/>
  </r>
  <r>
    <n v="709"/>
    <x v="1"/>
    <x v="6"/>
    <s v="Beverages"/>
    <n v="40"/>
    <x v="3"/>
    <n v="240"/>
    <x v="1"/>
    <s v="Mr."/>
    <s v="Morning"/>
  </r>
  <r>
    <n v="710"/>
    <x v="1"/>
    <x v="5"/>
    <s v="Fastfood"/>
    <n v="60"/>
    <x v="1"/>
    <n v="900"/>
    <x v="0"/>
    <s v="Mr."/>
    <s v="Night"/>
  </r>
  <r>
    <n v="711"/>
    <x v="0"/>
    <x v="0"/>
    <s v="Fastfood"/>
    <n v="20"/>
    <x v="10"/>
    <n v="60"/>
    <x v="1"/>
    <s v="Mr."/>
    <s v="Afternoon"/>
  </r>
  <r>
    <n v="712"/>
    <x v="0"/>
    <x v="1"/>
    <s v="Fastfood"/>
    <n v="20"/>
    <x v="10"/>
    <n v="60"/>
    <x v="2"/>
    <s v="Mrs."/>
    <s v="Midnight"/>
  </r>
  <r>
    <n v="713"/>
    <x v="0"/>
    <x v="2"/>
    <s v="Beverages"/>
    <n v="25"/>
    <x v="7"/>
    <n v="350"/>
    <x v="2"/>
    <s v="Mrs."/>
    <s v="Morning"/>
  </r>
  <r>
    <n v="714"/>
    <x v="0"/>
    <x v="2"/>
    <s v="Beverages"/>
    <n v="25"/>
    <x v="7"/>
    <n v="350"/>
    <x v="1"/>
    <s v="Mr."/>
    <s v="Afternoon"/>
  </r>
  <r>
    <n v="715"/>
    <x v="0"/>
    <x v="5"/>
    <s v="Fastfood"/>
    <n v="60"/>
    <x v="2"/>
    <n v="60"/>
    <x v="2"/>
    <s v="Mr."/>
    <s v="Morning"/>
  </r>
  <r>
    <n v="716"/>
    <x v="0"/>
    <x v="3"/>
    <s v="Fastfood"/>
    <n v="20"/>
    <x v="6"/>
    <n v="180"/>
    <x v="1"/>
    <s v="Mrs."/>
    <s v="Midnight"/>
  </r>
  <r>
    <n v="717"/>
    <x v="0"/>
    <x v="2"/>
    <s v="Beverages"/>
    <n v="25"/>
    <x v="1"/>
    <n v="375"/>
    <x v="0"/>
    <s v="Mrs."/>
    <s v="Evening"/>
  </r>
  <r>
    <n v="718"/>
    <x v="0"/>
    <x v="0"/>
    <s v="Fastfood"/>
    <n v="20"/>
    <x v="13"/>
    <n v="40"/>
    <x v="2"/>
    <s v="Mr."/>
    <s v="Afternoon"/>
  </r>
  <r>
    <n v="719"/>
    <x v="0"/>
    <x v="1"/>
    <s v="Fastfood"/>
    <n v="20"/>
    <x v="1"/>
    <n v="300"/>
    <x v="1"/>
    <s v="Mrs."/>
    <s v="Midnight"/>
  </r>
  <r>
    <n v="720"/>
    <x v="0"/>
    <x v="4"/>
    <s v="Fastfood"/>
    <n v="50"/>
    <x v="7"/>
    <n v="700"/>
    <x v="1"/>
    <s v="Mrs."/>
    <s v="Morning"/>
  </r>
  <r>
    <n v="721"/>
    <x v="0"/>
    <x v="3"/>
    <s v="Fastfood"/>
    <n v="20"/>
    <x v="12"/>
    <n v="240"/>
    <x v="0"/>
    <s v="Mr."/>
    <s v="Afternoon"/>
  </r>
  <r>
    <n v="722"/>
    <x v="0"/>
    <x v="1"/>
    <s v="Fastfood"/>
    <n v="20"/>
    <x v="1"/>
    <n v="300"/>
    <x v="0"/>
    <s v="Mr."/>
    <s v="Midnight"/>
  </r>
  <r>
    <n v="723"/>
    <x v="1"/>
    <x v="6"/>
    <s v="Beverages"/>
    <n v="40"/>
    <x v="5"/>
    <n v="400"/>
    <x v="2"/>
    <s v="Mr."/>
    <s v="Evening"/>
  </r>
  <r>
    <n v="724"/>
    <x v="0"/>
    <x v="4"/>
    <s v="Fastfood"/>
    <n v="50"/>
    <x v="5"/>
    <n v="500"/>
    <x v="1"/>
    <s v="Mrs."/>
    <s v="Night"/>
  </r>
  <r>
    <n v="725"/>
    <x v="0"/>
    <x v="1"/>
    <s v="Fastfood"/>
    <n v="20"/>
    <x v="3"/>
    <n v="120"/>
    <x v="2"/>
    <s v="Mrs."/>
    <s v="Afternoon"/>
  </r>
  <r>
    <n v="726"/>
    <x v="0"/>
    <x v="3"/>
    <s v="Fastfood"/>
    <n v="20"/>
    <x v="2"/>
    <n v="20"/>
    <x v="2"/>
    <s v="Mr."/>
    <s v="Morning"/>
  </r>
  <r>
    <n v="727"/>
    <x v="0"/>
    <x v="0"/>
    <s v="Fastfood"/>
    <n v="20"/>
    <x v="8"/>
    <n v="100"/>
    <x v="1"/>
    <s v="Mrs."/>
    <s v="Midnight"/>
  </r>
  <r>
    <n v="728"/>
    <x v="0"/>
    <x v="1"/>
    <s v="Fastfood"/>
    <n v="20"/>
    <x v="2"/>
    <n v="20"/>
    <x v="2"/>
    <s v="Mr."/>
    <s v="Midnight"/>
  </r>
  <r>
    <n v="729"/>
    <x v="0"/>
    <x v="5"/>
    <s v="Fastfood"/>
    <n v="60"/>
    <x v="14"/>
    <n v="420"/>
    <x v="1"/>
    <s v="Mr."/>
    <s v="Night"/>
  </r>
  <r>
    <n v="730"/>
    <x v="0"/>
    <x v="4"/>
    <s v="Fastfood"/>
    <n v="50"/>
    <x v="0"/>
    <n v="650"/>
    <x v="1"/>
    <s v="Mrs."/>
    <s v="Afternoon"/>
  </r>
  <r>
    <n v="731"/>
    <x v="1"/>
    <x v="4"/>
    <s v="Fastfood"/>
    <n v="50"/>
    <x v="5"/>
    <n v="500"/>
    <x v="1"/>
    <s v="Mrs."/>
    <s v="Afternoon"/>
  </r>
  <r>
    <n v="732"/>
    <x v="0"/>
    <x v="3"/>
    <s v="Fastfood"/>
    <n v="20"/>
    <x v="14"/>
    <n v="140"/>
    <x v="0"/>
    <s v="Mrs."/>
    <s v="Midnight"/>
  </r>
  <r>
    <n v="733"/>
    <x v="1"/>
    <x v="4"/>
    <s v="Fastfood"/>
    <n v="50"/>
    <x v="5"/>
    <n v="500"/>
    <x v="1"/>
    <s v="Mr."/>
    <s v="Evening"/>
  </r>
  <r>
    <n v="734"/>
    <x v="0"/>
    <x v="4"/>
    <s v="Fastfood"/>
    <n v="50"/>
    <x v="14"/>
    <n v="350"/>
    <x v="1"/>
    <s v="Mr."/>
    <s v="Evening"/>
  </r>
  <r>
    <n v="735"/>
    <x v="0"/>
    <x v="3"/>
    <s v="Fastfood"/>
    <n v="20"/>
    <x v="11"/>
    <n v="220"/>
    <x v="1"/>
    <s v="Mr."/>
    <s v="Morning"/>
  </r>
  <r>
    <n v="736"/>
    <x v="0"/>
    <x v="3"/>
    <s v="Fastfood"/>
    <n v="20"/>
    <x v="0"/>
    <n v="260"/>
    <x v="0"/>
    <s v="Mr."/>
    <s v="Afternoon"/>
  </r>
  <r>
    <n v="737"/>
    <x v="0"/>
    <x v="4"/>
    <s v="Fastfood"/>
    <n v="50"/>
    <x v="0"/>
    <n v="650"/>
    <x v="2"/>
    <s v="Mrs."/>
    <s v="Night"/>
  </r>
  <r>
    <n v="738"/>
    <x v="1"/>
    <x v="5"/>
    <s v="Fastfood"/>
    <n v="60"/>
    <x v="9"/>
    <n v="240"/>
    <x v="2"/>
    <s v="Mrs."/>
    <s v="Morning"/>
  </r>
  <r>
    <n v="739"/>
    <x v="0"/>
    <x v="0"/>
    <s v="Fastfood"/>
    <n v="20"/>
    <x v="11"/>
    <n v="220"/>
    <x v="2"/>
    <s v="Mr."/>
    <s v="Night"/>
  </r>
  <r>
    <n v="740"/>
    <x v="0"/>
    <x v="0"/>
    <s v="Fastfood"/>
    <n v="20"/>
    <x v="6"/>
    <n v="180"/>
    <x v="1"/>
    <s v="Mr."/>
    <s v="Midnight"/>
  </r>
  <r>
    <n v="741"/>
    <x v="0"/>
    <x v="0"/>
    <s v="Fastfood"/>
    <n v="20"/>
    <x v="8"/>
    <n v="100"/>
    <x v="2"/>
    <s v="Mr."/>
    <s v="Afternoon"/>
  </r>
  <r>
    <n v="742"/>
    <x v="0"/>
    <x v="3"/>
    <s v="Fastfood"/>
    <n v="20"/>
    <x v="7"/>
    <n v="280"/>
    <x v="2"/>
    <s v="Mr."/>
    <s v="Night"/>
  </r>
  <r>
    <n v="743"/>
    <x v="0"/>
    <x v="3"/>
    <s v="Fastfood"/>
    <n v="20"/>
    <x v="2"/>
    <n v="20"/>
    <x v="1"/>
    <s v="Mr."/>
    <s v="Morning"/>
  </r>
  <r>
    <n v="744"/>
    <x v="0"/>
    <x v="4"/>
    <s v="Fastfood"/>
    <n v="50"/>
    <x v="5"/>
    <n v="500"/>
    <x v="1"/>
    <s v="Mrs."/>
    <s v="Morning"/>
  </r>
  <r>
    <n v="745"/>
    <x v="0"/>
    <x v="0"/>
    <s v="Fastfood"/>
    <n v="20"/>
    <x v="13"/>
    <n v="40"/>
    <x v="2"/>
    <s v="Mr."/>
    <s v="Evening"/>
  </r>
  <r>
    <n v="746"/>
    <x v="0"/>
    <x v="2"/>
    <s v="Beverages"/>
    <n v="25"/>
    <x v="8"/>
    <n v="125"/>
    <x v="2"/>
    <s v="Mrs."/>
    <s v="Midnight"/>
  </r>
  <r>
    <n v="747"/>
    <x v="1"/>
    <x v="6"/>
    <s v="Beverages"/>
    <n v="40"/>
    <x v="10"/>
    <n v="120"/>
    <x v="1"/>
    <s v="Mrs."/>
    <s v="Midnight"/>
  </r>
  <r>
    <n v="748"/>
    <x v="0"/>
    <x v="5"/>
    <s v="Fastfood"/>
    <n v="60"/>
    <x v="7"/>
    <n v="840"/>
    <x v="1"/>
    <s v="Mrs."/>
    <s v="Night"/>
  </r>
  <r>
    <n v="749"/>
    <x v="0"/>
    <x v="1"/>
    <s v="Fastfood"/>
    <n v="20"/>
    <x v="11"/>
    <n v="220"/>
    <x v="1"/>
    <s v="Mr."/>
    <s v="Morning"/>
  </r>
  <r>
    <n v="750"/>
    <x v="1"/>
    <x v="4"/>
    <s v="Fastfood"/>
    <n v="50"/>
    <x v="2"/>
    <n v="50"/>
    <x v="2"/>
    <s v="Mr."/>
    <s v="Evening"/>
  </r>
  <r>
    <n v="751"/>
    <x v="0"/>
    <x v="1"/>
    <s v="Fastfood"/>
    <n v="20"/>
    <x v="13"/>
    <n v="40"/>
    <x v="1"/>
    <s v="Mr."/>
    <s v="Afternoon"/>
  </r>
  <r>
    <n v="752"/>
    <x v="0"/>
    <x v="3"/>
    <s v="Fastfood"/>
    <n v="20"/>
    <x v="13"/>
    <n v="40"/>
    <x v="2"/>
    <s v="Mrs."/>
    <s v="Morning"/>
  </r>
  <r>
    <n v="753"/>
    <x v="0"/>
    <x v="2"/>
    <s v="Beverages"/>
    <n v="25"/>
    <x v="2"/>
    <n v="25"/>
    <x v="1"/>
    <s v="Mr."/>
    <s v="Midnight"/>
  </r>
  <r>
    <n v="754"/>
    <x v="0"/>
    <x v="2"/>
    <s v="Beverages"/>
    <n v="25"/>
    <x v="7"/>
    <n v="350"/>
    <x v="1"/>
    <s v="Mrs."/>
    <s v="Evening"/>
  </r>
  <r>
    <n v="755"/>
    <x v="1"/>
    <x v="0"/>
    <s v="Fastfood"/>
    <n v="20"/>
    <x v="12"/>
    <n v="240"/>
    <x v="1"/>
    <s v="Mrs."/>
    <s v="Night"/>
  </r>
  <r>
    <n v="756"/>
    <x v="0"/>
    <x v="2"/>
    <s v="Beverages"/>
    <n v="25"/>
    <x v="5"/>
    <n v="250"/>
    <x v="2"/>
    <s v="Mrs."/>
    <s v="Morning"/>
  </r>
  <r>
    <n v="757"/>
    <x v="0"/>
    <x v="2"/>
    <s v="Beverages"/>
    <n v="25"/>
    <x v="11"/>
    <n v="275"/>
    <x v="2"/>
    <s v="Mr."/>
    <s v="Morning"/>
  </r>
  <r>
    <n v="758"/>
    <x v="0"/>
    <x v="1"/>
    <s v="Fastfood"/>
    <n v="20"/>
    <x v="10"/>
    <n v="60"/>
    <x v="1"/>
    <s v="Mrs."/>
    <s v="Evening"/>
  </r>
  <r>
    <n v="759"/>
    <x v="0"/>
    <x v="2"/>
    <s v="Beverages"/>
    <n v="25"/>
    <x v="0"/>
    <n v="325"/>
    <x v="2"/>
    <s v="Mr."/>
    <s v="Midnight"/>
  </r>
  <r>
    <n v="760"/>
    <x v="0"/>
    <x v="2"/>
    <s v="Beverages"/>
    <n v="25"/>
    <x v="2"/>
    <n v="25"/>
    <x v="2"/>
    <s v="Mrs."/>
    <s v="Evening"/>
  </r>
  <r>
    <n v="761"/>
    <x v="0"/>
    <x v="5"/>
    <s v="Fastfood"/>
    <n v="60"/>
    <x v="10"/>
    <n v="180"/>
    <x v="0"/>
    <s v="Mrs."/>
    <s v="Midnight"/>
  </r>
  <r>
    <n v="762"/>
    <x v="0"/>
    <x v="1"/>
    <s v="Fastfood"/>
    <n v="20"/>
    <x v="12"/>
    <n v="240"/>
    <x v="2"/>
    <s v="Mrs."/>
    <s v="Midnight"/>
  </r>
  <r>
    <n v="763"/>
    <x v="0"/>
    <x v="1"/>
    <s v="Fastfood"/>
    <n v="20"/>
    <x v="7"/>
    <n v="280"/>
    <x v="0"/>
    <s v="Mrs."/>
    <s v="Night"/>
  </r>
  <r>
    <n v="764"/>
    <x v="1"/>
    <x v="5"/>
    <s v="Fastfood"/>
    <n v="60"/>
    <x v="14"/>
    <n v="420"/>
    <x v="1"/>
    <s v="Mrs."/>
    <s v="Night"/>
  </r>
  <r>
    <n v="765"/>
    <x v="0"/>
    <x v="5"/>
    <s v="Fastfood"/>
    <n v="60"/>
    <x v="0"/>
    <n v="780"/>
    <x v="1"/>
    <s v="Mr."/>
    <s v="Night"/>
  </r>
  <r>
    <n v="766"/>
    <x v="0"/>
    <x v="5"/>
    <s v="Fastfood"/>
    <n v="60"/>
    <x v="5"/>
    <n v="600"/>
    <x v="2"/>
    <s v="Mrs."/>
    <s v="Morning"/>
  </r>
  <r>
    <n v="767"/>
    <x v="1"/>
    <x v="4"/>
    <s v="Fastfood"/>
    <n v="50"/>
    <x v="4"/>
    <n v="400"/>
    <x v="1"/>
    <s v="Mrs."/>
    <s v="Afternoon"/>
  </r>
  <r>
    <n v="768"/>
    <x v="1"/>
    <x v="5"/>
    <s v="Fastfood"/>
    <n v="60"/>
    <x v="7"/>
    <n v="840"/>
    <x v="1"/>
    <s v="Mr."/>
    <s v="Afternoon"/>
  </r>
  <r>
    <n v="769"/>
    <x v="0"/>
    <x v="4"/>
    <s v="Fastfood"/>
    <n v="50"/>
    <x v="4"/>
    <n v="400"/>
    <x v="1"/>
    <s v="Mr."/>
    <s v="Morning"/>
  </r>
  <r>
    <n v="770"/>
    <x v="1"/>
    <x v="0"/>
    <s v="Fastfood"/>
    <n v="20"/>
    <x v="4"/>
    <n v="160"/>
    <x v="1"/>
    <s v="Mrs."/>
    <s v="Morning"/>
  </r>
  <r>
    <n v="771"/>
    <x v="0"/>
    <x v="3"/>
    <s v="Fastfood"/>
    <n v="20"/>
    <x v="8"/>
    <n v="100"/>
    <x v="2"/>
    <s v="Mrs."/>
    <s v="Midnight"/>
  </r>
  <r>
    <n v="772"/>
    <x v="1"/>
    <x v="6"/>
    <s v="Beverages"/>
    <n v="40"/>
    <x v="6"/>
    <n v="360"/>
    <x v="1"/>
    <s v="Mr."/>
    <s v="Evening"/>
  </r>
  <r>
    <n v="773"/>
    <x v="0"/>
    <x v="6"/>
    <s v="Beverages"/>
    <n v="40"/>
    <x v="14"/>
    <n v="280"/>
    <x v="2"/>
    <s v="Mr."/>
    <s v="Afternoon"/>
  </r>
  <r>
    <n v="774"/>
    <x v="1"/>
    <x v="1"/>
    <s v="Fastfood"/>
    <n v="20"/>
    <x v="2"/>
    <n v="20"/>
    <x v="2"/>
    <s v="Mrs."/>
    <s v="Night"/>
  </r>
  <r>
    <n v="775"/>
    <x v="1"/>
    <x v="5"/>
    <s v="Fastfood"/>
    <n v="60"/>
    <x v="3"/>
    <n v="360"/>
    <x v="1"/>
    <s v="Mr."/>
    <s v="Night"/>
  </r>
  <r>
    <n v="776"/>
    <x v="1"/>
    <x v="4"/>
    <s v="Fastfood"/>
    <n v="50"/>
    <x v="5"/>
    <n v="500"/>
    <x v="1"/>
    <s v="Mr."/>
    <s v="Midnight"/>
  </r>
  <r>
    <n v="777"/>
    <x v="0"/>
    <x v="3"/>
    <s v="Fastfood"/>
    <n v="20"/>
    <x v="0"/>
    <n v="260"/>
    <x v="1"/>
    <s v="Mr."/>
    <s v="Morning"/>
  </r>
  <r>
    <n v="778"/>
    <x v="0"/>
    <x v="4"/>
    <s v="Fastfood"/>
    <n v="50"/>
    <x v="0"/>
    <n v="650"/>
    <x v="1"/>
    <s v="Mr."/>
    <s v="Evening"/>
  </r>
  <r>
    <n v="779"/>
    <x v="1"/>
    <x v="5"/>
    <s v="Fastfood"/>
    <n v="60"/>
    <x v="0"/>
    <n v="780"/>
    <x v="0"/>
    <s v="Mr."/>
    <s v="Night"/>
  </r>
  <r>
    <n v="780"/>
    <x v="0"/>
    <x v="2"/>
    <s v="Beverages"/>
    <n v="25"/>
    <x v="0"/>
    <n v="325"/>
    <x v="2"/>
    <s v="Mrs."/>
    <s v="Afternoon"/>
  </r>
  <r>
    <n v="781"/>
    <x v="0"/>
    <x v="0"/>
    <s v="Fastfood"/>
    <n v="20"/>
    <x v="5"/>
    <n v="200"/>
    <x v="2"/>
    <s v="Mr."/>
    <s v="Midnight"/>
  </r>
  <r>
    <n v="782"/>
    <x v="0"/>
    <x v="0"/>
    <s v="Fastfood"/>
    <n v="20"/>
    <x v="8"/>
    <n v="100"/>
    <x v="2"/>
    <s v="Mr."/>
    <s v="Night"/>
  </r>
  <r>
    <n v="783"/>
    <x v="0"/>
    <x v="0"/>
    <s v="Fastfood"/>
    <n v="20"/>
    <x v="4"/>
    <n v="160"/>
    <x v="1"/>
    <s v="Mr."/>
    <s v="Morning"/>
  </r>
  <r>
    <n v="784"/>
    <x v="0"/>
    <x v="1"/>
    <s v="Fastfood"/>
    <n v="20"/>
    <x v="4"/>
    <n v="160"/>
    <x v="1"/>
    <s v="Mrs."/>
    <s v="Morning"/>
  </r>
  <r>
    <n v="785"/>
    <x v="0"/>
    <x v="0"/>
    <s v="Fastfood"/>
    <n v="20"/>
    <x v="13"/>
    <n v="40"/>
    <x v="2"/>
    <s v="Mr."/>
    <s v="Afternoon"/>
  </r>
  <r>
    <n v="786"/>
    <x v="1"/>
    <x v="5"/>
    <s v="Fastfood"/>
    <n v="60"/>
    <x v="7"/>
    <n v="840"/>
    <x v="2"/>
    <s v="Mrs."/>
    <s v="Night"/>
  </r>
  <r>
    <n v="787"/>
    <x v="1"/>
    <x v="0"/>
    <s v="Fastfood"/>
    <n v="20"/>
    <x v="13"/>
    <n v="40"/>
    <x v="1"/>
    <s v="Mrs."/>
    <s v="Afternoon"/>
  </r>
  <r>
    <n v="788"/>
    <x v="0"/>
    <x v="2"/>
    <s v="Beverages"/>
    <n v="25"/>
    <x v="14"/>
    <n v="175"/>
    <x v="2"/>
    <s v="Mr."/>
    <s v="Afternoon"/>
  </r>
  <r>
    <n v="789"/>
    <x v="0"/>
    <x v="2"/>
    <s v="Beverages"/>
    <n v="25"/>
    <x v="14"/>
    <n v="175"/>
    <x v="1"/>
    <s v="Mr."/>
    <s v="Morning"/>
  </r>
  <r>
    <n v="790"/>
    <x v="0"/>
    <x v="3"/>
    <s v="Fastfood"/>
    <n v="20"/>
    <x v="10"/>
    <n v="60"/>
    <x v="1"/>
    <s v="Mrs."/>
    <s v="Evening"/>
  </r>
  <r>
    <n v="791"/>
    <x v="0"/>
    <x v="1"/>
    <s v="Fastfood"/>
    <n v="20"/>
    <x v="10"/>
    <n v="60"/>
    <x v="0"/>
    <s v="Mr."/>
    <s v="Midnight"/>
  </r>
  <r>
    <n v="792"/>
    <x v="1"/>
    <x v="1"/>
    <s v="Fastfood"/>
    <n v="20"/>
    <x v="13"/>
    <n v="40"/>
    <x v="1"/>
    <s v="Mrs."/>
    <s v="Morning"/>
  </r>
  <r>
    <n v="793"/>
    <x v="0"/>
    <x v="5"/>
    <s v="Fastfood"/>
    <n v="60"/>
    <x v="3"/>
    <n v="360"/>
    <x v="1"/>
    <s v="Mrs."/>
    <s v="Night"/>
  </r>
  <r>
    <n v="794"/>
    <x v="0"/>
    <x v="2"/>
    <s v="Beverages"/>
    <n v="25"/>
    <x v="8"/>
    <n v="125"/>
    <x v="2"/>
    <s v="Mr."/>
    <s v="Afternoon"/>
  </r>
  <r>
    <n v="795"/>
    <x v="1"/>
    <x v="1"/>
    <s v="Fastfood"/>
    <n v="20"/>
    <x v="6"/>
    <n v="180"/>
    <x v="1"/>
    <s v="Mr."/>
    <s v="Evening"/>
  </r>
  <r>
    <n v="796"/>
    <x v="0"/>
    <x v="2"/>
    <s v="Beverages"/>
    <n v="25"/>
    <x v="7"/>
    <n v="350"/>
    <x v="2"/>
    <s v="Mr."/>
    <s v="Night"/>
  </r>
  <r>
    <n v="797"/>
    <x v="0"/>
    <x v="6"/>
    <s v="Beverages"/>
    <n v="40"/>
    <x v="11"/>
    <n v="440"/>
    <x v="1"/>
    <s v="Mr."/>
    <s v="Night"/>
  </r>
  <r>
    <n v="798"/>
    <x v="0"/>
    <x v="4"/>
    <s v="Fastfood"/>
    <n v="50"/>
    <x v="12"/>
    <n v="600"/>
    <x v="0"/>
    <s v="Mr."/>
    <s v="Night"/>
  </r>
  <r>
    <n v="799"/>
    <x v="1"/>
    <x v="3"/>
    <s v="Fastfood"/>
    <n v="20"/>
    <x v="2"/>
    <n v="20"/>
    <x v="2"/>
    <s v="Mrs."/>
    <s v="Night"/>
  </r>
  <r>
    <n v="800"/>
    <x v="0"/>
    <x v="6"/>
    <s v="Beverages"/>
    <n v="40"/>
    <x v="7"/>
    <n v="560"/>
    <x v="1"/>
    <s v="Mr."/>
    <s v="Night"/>
  </r>
  <r>
    <n v="801"/>
    <x v="0"/>
    <x v="0"/>
    <s v="Fastfood"/>
    <n v="20"/>
    <x v="14"/>
    <n v="140"/>
    <x v="1"/>
    <s v="Mrs."/>
    <s v="Evening"/>
  </r>
  <r>
    <n v="802"/>
    <x v="1"/>
    <x v="5"/>
    <s v="Fastfood"/>
    <n v="60"/>
    <x v="14"/>
    <n v="420"/>
    <x v="2"/>
    <s v="Mrs."/>
    <s v="Afternoon"/>
  </r>
  <r>
    <n v="803"/>
    <x v="0"/>
    <x v="1"/>
    <s v="Fastfood"/>
    <n v="20"/>
    <x v="8"/>
    <n v="100"/>
    <x v="0"/>
    <s v="Mr."/>
    <s v="Night"/>
  </r>
  <r>
    <n v="804"/>
    <x v="0"/>
    <x v="6"/>
    <s v="Beverages"/>
    <n v="40"/>
    <x v="12"/>
    <n v="480"/>
    <x v="2"/>
    <s v="Mrs."/>
    <s v="Night"/>
  </r>
  <r>
    <n v="805"/>
    <x v="0"/>
    <x v="2"/>
    <s v="Beverages"/>
    <n v="25"/>
    <x v="2"/>
    <n v="25"/>
    <x v="2"/>
    <s v="Mr."/>
    <s v="Afternoon"/>
  </r>
  <r>
    <n v="806"/>
    <x v="0"/>
    <x v="1"/>
    <s v="Fastfood"/>
    <n v="20"/>
    <x v="10"/>
    <n v="60"/>
    <x v="2"/>
    <s v="Mr."/>
    <s v="Evening"/>
  </r>
  <r>
    <n v="807"/>
    <x v="0"/>
    <x v="4"/>
    <s v="Fastfood"/>
    <n v="50"/>
    <x v="2"/>
    <n v="50"/>
    <x v="2"/>
    <s v="Mrs."/>
    <s v="Midnight"/>
  </r>
  <r>
    <n v="808"/>
    <x v="0"/>
    <x v="3"/>
    <s v="Fastfood"/>
    <n v="20"/>
    <x v="2"/>
    <n v="20"/>
    <x v="2"/>
    <s v="Mr."/>
    <s v="Morning"/>
  </r>
  <r>
    <n v="809"/>
    <x v="0"/>
    <x v="3"/>
    <s v="Fastfood"/>
    <n v="20"/>
    <x v="5"/>
    <n v="200"/>
    <x v="2"/>
    <s v="Mr."/>
    <s v="Evening"/>
  </r>
  <r>
    <n v="810"/>
    <x v="0"/>
    <x v="1"/>
    <s v="Fastfood"/>
    <n v="20"/>
    <x v="10"/>
    <n v="60"/>
    <x v="2"/>
    <s v="Mr."/>
    <s v="Morning"/>
  </r>
  <r>
    <n v="811"/>
    <x v="1"/>
    <x v="0"/>
    <s v="Fastfood"/>
    <n v="20"/>
    <x v="0"/>
    <n v="260"/>
    <x v="1"/>
    <s v="Mr."/>
    <s v="Afternoon"/>
  </r>
  <r>
    <n v="812"/>
    <x v="0"/>
    <x v="3"/>
    <s v="Fastfood"/>
    <n v="20"/>
    <x v="8"/>
    <n v="100"/>
    <x v="1"/>
    <s v="Mr."/>
    <s v="Afternoon"/>
  </r>
  <r>
    <n v="813"/>
    <x v="0"/>
    <x v="3"/>
    <s v="Fastfood"/>
    <n v="20"/>
    <x v="5"/>
    <n v="200"/>
    <x v="2"/>
    <s v="Mr."/>
    <s v="Afternoon"/>
  </r>
  <r>
    <n v="814"/>
    <x v="0"/>
    <x v="1"/>
    <s v="Fastfood"/>
    <n v="20"/>
    <x v="0"/>
    <n v="260"/>
    <x v="1"/>
    <s v="Mrs."/>
    <s v="Midnight"/>
  </r>
  <r>
    <n v="815"/>
    <x v="0"/>
    <x v="6"/>
    <s v="Beverages"/>
    <n v="40"/>
    <x v="12"/>
    <n v="480"/>
    <x v="2"/>
    <s v="Mrs."/>
    <s v="Afternoon"/>
  </r>
  <r>
    <n v="816"/>
    <x v="1"/>
    <x v="2"/>
    <s v="Beverages"/>
    <n v="25"/>
    <x v="11"/>
    <n v="275"/>
    <x v="1"/>
    <s v="Mr."/>
    <s v="Morning"/>
  </r>
  <r>
    <n v="817"/>
    <x v="0"/>
    <x v="0"/>
    <s v="Fastfood"/>
    <n v="20"/>
    <x v="12"/>
    <n v="240"/>
    <x v="1"/>
    <s v="Mrs."/>
    <s v="Evening"/>
  </r>
  <r>
    <n v="818"/>
    <x v="1"/>
    <x v="4"/>
    <s v="Fastfood"/>
    <n v="50"/>
    <x v="3"/>
    <n v="300"/>
    <x v="1"/>
    <s v="Mr."/>
    <s v="Night"/>
  </r>
  <r>
    <n v="819"/>
    <x v="0"/>
    <x v="1"/>
    <s v="Fastfood"/>
    <n v="20"/>
    <x v="5"/>
    <n v="200"/>
    <x v="1"/>
    <s v="Mr."/>
    <s v="Evening"/>
  </r>
  <r>
    <n v="820"/>
    <x v="1"/>
    <x v="0"/>
    <s v="Fastfood"/>
    <n v="20"/>
    <x v="10"/>
    <n v="60"/>
    <x v="0"/>
    <s v="Mr."/>
    <s v="Midnight"/>
  </r>
  <r>
    <n v="821"/>
    <x v="0"/>
    <x v="0"/>
    <s v="Fastfood"/>
    <n v="20"/>
    <x v="12"/>
    <n v="240"/>
    <x v="1"/>
    <s v="Mrs."/>
    <s v="Midnight"/>
  </r>
  <r>
    <n v="822"/>
    <x v="0"/>
    <x v="3"/>
    <s v="Fastfood"/>
    <n v="20"/>
    <x v="12"/>
    <n v="240"/>
    <x v="2"/>
    <s v="Mr."/>
    <s v="Morning"/>
  </r>
  <r>
    <n v="823"/>
    <x v="1"/>
    <x v="3"/>
    <s v="Fastfood"/>
    <n v="20"/>
    <x v="11"/>
    <n v="220"/>
    <x v="2"/>
    <s v="Mr."/>
    <s v="Midnight"/>
  </r>
  <r>
    <n v="824"/>
    <x v="1"/>
    <x v="1"/>
    <s v="Fastfood"/>
    <n v="20"/>
    <x v="13"/>
    <n v="40"/>
    <x v="2"/>
    <s v="Mrs."/>
    <s v="Evening"/>
  </r>
  <r>
    <n v="825"/>
    <x v="0"/>
    <x v="3"/>
    <s v="Fastfood"/>
    <n v="20"/>
    <x v="7"/>
    <n v="280"/>
    <x v="1"/>
    <s v="Mrs."/>
    <s v="Morning"/>
  </r>
  <r>
    <n v="826"/>
    <x v="0"/>
    <x v="5"/>
    <s v="Fastfood"/>
    <n v="60"/>
    <x v="1"/>
    <n v="900"/>
    <x v="1"/>
    <s v="Mrs."/>
    <s v="Night"/>
  </r>
  <r>
    <n v="827"/>
    <x v="1"/>
    <x v="5"/>
    <s v="Fastfood"/>
    <n v="60"/>
    <x v="12"/>
    <n v="720"/>
    <x v="1"/>
    <s v="Mr."/>
    <s v="Midnight"/>
  </r>
  <r>
    <n v="828"/>
    <x v="0"/>
    <x v="3"/>
    <s v="Fastfood"/>
    <n v="20"/>
    <x v="3"/>
    <n v="120"/>
    <x v="1"/>
    <s v="Mr."/>
    <s v="Evening"/>
  </r>
  <r>
    <n v="829"/>
    <x v="0"/>
    <x v="6"/>
    <s v="Beverages"/>
    <n v="40"/>
    <x v="3"/>
    <n v="240"/>
    <x v="1"/>
    <s v="Mr."/>
    <s v="Night"/>
  </r>
  <r>
    <n v="830"/>
    <x v="0"/>
    <x v="6"/>
    <s v="Beverages"/>
    <n v="40"/>
    <x v="6"/>
    <n v="360"/>
    <x v="0"/>
    <s v="Mr."/>
    <s v="Night"/>
  </r>
  <r>
    <n v="831"/>
    <x v="0"/>
    <x v="4"/>
    <s v="Fastfood"/>
    <n v="50"/>
    <x v="8"/>
    <n v="250"/>
    <x v="2"/>
    <s v="Mrs."/>
    <s v="Morning"/>
  </r>
  <r>
    <n v="832"/>
    <x v="0"/>
    <x v="2"/>
    <s v="Beverages"/>
    <n v="25"/>
    <x v="9"/>
    <n v="100"/>
    <x v="1"/>
    <s v="Mr."/>
    <s v="Morning"/>
  </r>
  <r>
    <n v="833"/>
    <x v="0"/>
    <x v="3"/>
    <s v="Fastfood"/>
    <n v="20"/>
    <x v="13"/>
    <n v="40"/>
    <x v="2"/>
    <s v="Mrs."/>
    <s v="Evening"/>
  </r>
  <r>
    <n v="834"/>
    <x v="0"/>
    <x v="2"/>
    <s v="Beverages"/>
    <n v="25"/>
    <x v="7"/>
    <n v="350"/>
    <x v="1"/>
    <s v="Mr."/>
    <s v="Evening"/>
  </r>
  <r>
    <n v="835"/>
    <x v="0"/>
    <x v="2"/>
    <s v="Beverages"/>
    <n v="25"/>
    <x v="14"/>
    <n v="175"/>
    <x v="2"/>
    <s v="Mr."/>
    <s v="Afternoon"/>
  </r>
  <r>
    <n v="836"/>
    <x v="0"/>
    <x v="1"/>
    <s v="Fastfood"/>
    <n v="20"/>
    <x v="13"/>
    <n v="40"/>
    <x v="1"/>
    <s v="Mrs."/>
    <s v="Midnight"/>
  </r>
  <r>
    <n v="837"/>
    <x v="0"/>
    <x v="0"/>
    <s v="Fastfood"/>
    <n v="20"/>
    <x v="14"/>
    <n v="140"/>
    <x v="1"/>
    <s v="Mr."/>
    <s v="Midnight"/>
  </r>
  <r>
    <n v="838"/>
    <x v="0"/>
    <x v="6"/>
    <s v="Beverages"/>
    <n v="40"/>
    <x v="6"/>
    <n v="360"/>
    <x v="2"/>
    <s v="Mrs."/>
    <s v="Morning"/>
  </r>
  <r>
    <n v="839"/>
    <x v="0"/>
    <x v="2"/>
    <s v="Beverages"/>
    <n v="25"/>
    <x v="9"/>
    <n v="100"/>
    <x v="1"/>
    <s v="Mrs."/>
    <s v="Afternoon"/>
  </r>
  <r>
    <n v="840"/>
    <x v="1"/>
    <x v="6"/>
    <s v="Beverages"/>
    <n v="40"/>
    <x v="1"/>
    <n v="600"/>
    <x v="0"/>
    <s v="Mrs."/>
    <s v="Midnight"/>
  </r>
  <r>
    <n v="841"/>
    <x v="1"/>
    <x v="1"/>
    <s v="Fastfood"/>
    <n v="20"/>
    <x v="6"/>
    <n v="180"/>
    <x v="1"/>
    <s v="Mr."/>
    <s v="Night"/>
  </r>
  <r>
    <n v="842"/>
    <x v="0"/>
    <x v="3"/>
    <s v="Fastfood"/>
    <n v="20"/>
    <x v="13"/>
    <n v="40"/>
    <x v="1"/>
    <s v="Mrs."/>
    <s v="Evening"/>
  </r>
  <r>
    <n v="843"/>
    <x v="0"/>
    <x v="2"/>
    <s v="Beverages"/>
    <n v="25"/>
    <x v="2"/>
    <n v="25"/>
    <x v="1"/>
    <s v="Mrs."/>
    <s v="Morning"/>
  </r>
  <r>
    <n v="844"/>
    <x v="0"/>
    <x v="2"/>
    <s v="Beverages"/>
    <n v="25"/>
    <x v="0"/>
    <n v="325"/>
    <x v="1"/>
    <s v="Mr."/>
    <s v="Morning"/>
  </r>
  <r>
    <n v="845"/>
    <x v="0"/>
    <x v="6"/>
    <s v="Beverages"/>
    <n v="40"/>
    <x v="3"/>
    <n v="240"/>
    <x v="2"/>
    <s v="Mrs."/>
    <s v="Evening"/>
  </r>
  <r>
    <n v="846"/>
    <x v="0"/>
    <x v="0"/>
    <s v="Fastfood"/>
    <n v="20"/>
    <x v="8"/>
    <n v="100"/>
    <x v="2"/>
    <s v="Mr."/>
    <s v="Afternoon"/>
  </r>
  <r>
    <n v="847"/>
    <x v="0"/>
    <x v="3"/>
    <s v="Fastfood"/>
    <n v="20"/>
    <x v="11"/>
    <n v="220"/>
    <x v="2"/>
    <s v="Mr."/>
    <s v="Midnight"/>
  </r>
  <r>
    <n v="848"/>
    <x v="0"/>
    <x v="4"/>
    <s v="Fastfood"/>
    <n v="50"/>
    <x v="6"/>
    <n v="450"/>
    <x v="1"/>
    <s v="Mr."/>
    <s v="Night"/>
  </r>
  <r>
    <n v="849"/>
    <x v="0"/>
    <x v="6"/>
    <s v="Beverages"/>
    <n v="40"/>
    <x v="5"/>
    <n v="400"/>
    <x v="1"/>
    <s v="Mrs."/>
    <s v="Night"/>
  </r>
  <r>
    <n v="850"/>
    <x v="0"/>
    <x v="1"/>
    <s v="Fastfood"/>
    <n v="20"/>
    <x v="10"/>
    <n v="60"/>
    <x v="2"/>
    <s v="Mrs."/>
    <s v="Afternoon"/>
  </r>
  <r>
    <n v="851"/>
    <x v="1"/>
    <x v="0"/>
    <s v="Fastfood"/>
    <n v="20"/>
    <x v="1"/>
    <n v="300"/>
    <x v="2"/>
    <s v="Mrs."/>
    <s v="Night"/>
  </r>
  <r>
    <n v="852"/>
    <x v="0"/>
    <x v="2"/>
    <s v="Beverages"/>
    <n v="25"/>
    <x v="4"/>
    <n v="200"/>
    <x v="2"/>
    <s v="Mr."/>
    <s v="Night"/>
  </r>
  <r>
    <n v="853"/>
    <x v="1"/>
    <x v="6"/>
    <s v="Beverages"/>
    <n v="40"/>
    <x v="10"/>
    <n v="120"/>
    <x v="2"/>
    <s v="Mrs."/>
    <s v="Midnight"/>
  </r>
  <r>
    <n v="854"/>
    <x v="0"/>
    <x v="6"/>
    <s v="Beverages"/>
    <n v="40"/>
    <x v="7"/>
    <n v="560"/>
    <x v="2"/>
    <s v="Mrs."/>
    <s v="Night"/>
  </r>
  <r>
    <n v="855"/>
    <x v="0"/>
    <x v="1"/>
    <s v="Fastfood"/>
    <n v="20"/>
    <x v="8"/>
    <n v="100"/>
    <x v="2"/>
    <s v="Mr."/>
    <s v="Evening"/>
  </r>
  <r>
    <n v="856"/>
    <x v="0"/>
    <x v="0"/>
    <s v="Fastfood"/>
    <n v="20"/>
    <x v="11"/>
    <n v="220"/>
    <x v="1"/>
    <s v="Mrs."/>
    <s v="Night"/>
  </r>
  <r>
    <n v="857"/>
    <x v="0"/>
    <x v="2"/>
    <s v="Beverages"/>
    <n v="25"/>
    <x v="7"/>
    <n v="350"/>
    <x v="2"/>
    <s v="Mrs."/>
    <s v="Evening"/>
  </r>
  <r>
    <n v="858"/>
    <x v="0"/>
    <x v="6"/>
    <s v="Beverages"/>
    <n v="40"/>
    <x v="6"/>
    <n v="360"/>
    <x v="1"/>
    <s v="Mr."/>
    <s v="Evening"/>
  </r>
  <r>
    <n v="859"/>
    <x v="0"/>
    <x v="5"/>
    <s v="Fastfood"/>
    <n v="60"/>
    <x v="11"/>
    <n v="660"/>
    <x v="1"/>
    <s v="Mrs."/>
    <s v="Midnight"/>
  </r>
  <r>
    <n v="860"/>
    <x v="0"/>
    <x v="6"/>
    <s v="Beverages"/>
    <n v="40"/>
    <x v="8"/>
    <n v="200"/>
    <x v="1"/>
    <s v="Mr."/>
    <s v="Night"/>
  </r>
  <r>
    <n v="861"/>
    <x v="1"/>
    <x v="2"/>
    <s v="Beverages"/>
    <n v="25"/>
    <x v="4"/>
    <n v="200"/>
    <x v="1"/>
    <s v="Mrs."/>
    <s v="Night"/>
  </r>
  <r>
    <n v="862"/>
    <x v="1"/>
    <x v="4"/>
    <s v="Fastfood"/>
    <n v="50"/>
    <x v="14"/>
    <n v="350"/>
    <x v="2"/>
    <s v="Mr."/>
    <s v="Night"/>
  </r>
  <r>
    <n v="863"/>
    <x v="0"/>
    <x v="4"/>
    <s v="Fastfood"/>
    <n v="50"/>
    <x v="6"/>
    <n v="450"/>
    <x v="2"/>
    <s v="Mr."/>
    <s v="Night"/>
  </r>
  <r>
    <n v="864"/>
    <x v="0"/>
    <x v="6"/>
    <s v="Beverages"/>
    <n v="40"/>
    <x v="6"/>
    <n v="360"/>
    <x v="2"/>
    <s v="Mr."/>
    <s v="Morning"/>
  </r>
  <r>
    <n v="865"/>
    <x v="1"/>
    <x v="2"/>
    <s v="Beverages"/>
    <n v="25"/>
    <x v="3"/>
    <n v="150"/>
    <x v="1"/>
    <s v="Mrs."/>
    <s v="Night"/>
  </r>
  <r>
    <n v="866"/>
    <x v="0"/>
    <x v="4"/>
    <s v="Fastfood"/>
    <n v="50"/>
    <x v="5"/>
    <n v="500"/>
    <x v="2"/>
    <s v="Mr."/>
    <s v="Midnight"/>
  </r>
  <r>
    <n v="867"/>
    <x v="1"/>
    <x v="4"/>
    <s v="Fastfood"/>
    <n v="50"/>
    <x v="1"/>
    <n v="750"/>
    <x v="1"/>
    <s v="Mr."/>
    <s v="Midnight"/>
  </r>
  <r>
    <n v="868"/>
    <x v="0"/>
    <x v="0"/>
    <s v="Fastfood"/>
    <n v="20"/>
    <x v="0"/>
    <n v="260"/>
    <x v="1"/>
    <s v="Mrs."/>
    <s v="Evening"/>
  </r>
  <r>
    <n v="869"/>
    <x v="0"/>
    <x v="3"/>
    <s v="Fastfood"/>
    <n v="20"/>
    <x v="6"/>
    <n v="180"/>
    <x v="2"/>
    <s v="Mr."/>
    <s v="Midnight"/>
  </r>
  <r>
    <n v="870"/>
    <x v="0"/>
    <x v="6"/>
    <s v="Beverages"/>
    <n v="40"/>
    <x v="8"/>
    <n v="200"/>
    <x v="2"/>
    <s v="Mrs."/>
    <s v="Afternoon"/>
  </r>
  <r>
    <n v="871"/>
    <x v="0"/>
    <x v="1"/>
    <s v="Fastfood"/>
    <n v="20"/>
    <x v="7"/>
    <n v="280"/>
    <x v="0"/>
    <s v="Mrs."/>
    <s v="Evening"/>
  </r>
  <r>
    <n v="872"/>
    <x v="0"/>
    <x v="5"/>
    <s v="Fastfood"/>
    <n v="60"/>
    <x v="12"/>
    <n v="720"/>
    <x v="1"/>
    <s v="Mr."/>
    <s v="Afternoon"/>
  </r>
  <r>
    <n v="873"/>
    <x v="0"/>
    <x v="2"/>
    <s v="Beverages"/>
    <n v="25"/>
    <x v="2"/>
    <n v="25"/>
    <x v="2"/>
    <s v="Mr."/>
    <s v="Night"/>
  </r>
  <r>
    <n v="874"/>
    <x v="0"/>
    <x v="6"/>
    <s v="Beverages"/>
    <n v="40"/>
    <x v="9"/>
    <n v="160"/>
    <x v="1"/>
    <s v="Mr."/>
    <s v="Midnight"/>
  </r>
  <r>
    <n v="875"/>
    <x v="0"/>
    <x v="1"/>
    <s v="Fastfood"/>
    <n v="20"/>
    <x v="1"/>
    <n v="300"/>
    <x v="1"/>
    <s v="Mr."/>
    <s v="Evening"/>
  </r>
  <r>
    <n v="876"/>
    <x v="0"/>
    <x v="6"/>
    <s v="Beverages"/>
    <n v="40"/>
    <x v="4"/>
    <n v="320"/>
    <x v="2"/>
    <s v="Mrs."/>
    <s v="Evening"/>
  </r>
  <r>
    <n v="877"/>
    <x v="0"/>
    <x v="2"/>
    <s v="Beverages"/>
    <n v="25"/>
    <x v="7"/>
    <n v="350"/>
    <x v="1"/>
    <s v="Mrs."/>
    <s v="Afternoon"/>
  </r>
  <r>
    <n v="878"/>
    <x v="0"/>
    <x v="5"/>
    <s v="Fastfood"/>
    <n v="60"/>
    <x v="3"/>
    <n v="360"/>
    <x v="2"/>
    <s v="Mr."/>
    <s v="Evening"/>
  </r>
  <r>
    <n v="879"/>
    <x v="0"/>
    <x v="6"/>
    <s v="Beverages"/>
    <n v="40"/>
    <x v="6"/>
    <n v="360"/>
    <x v="1"/>
    <s v="Mrs."/>
    <s v="Evening"/>
  </r>
  <r>
    <n v="880"/>
    <x v="0"/>
    <x v="2"/>
    <s v="Beverages"/>
    <n v="25"/>
    <x v="8"/>
    <n v="125"/>
    <x v="1"/>
    <s v="Mrs."/>
    <s v="Morning"/>
  </r>
  <r>
    <n v="881"/>
    <x v="0"/>
    <x v="5"/>
    <s v="Fastfood"/>
    <n v="60"/>
    <x v="13"/>
    <n v="120"/>
    <x v="1"/>
    <s v="Mr."/>
    <s v="Midnight"/>
  </r>
  <r>
    <n v="882"/>
    <x v="0"/>
    <x v="3"/>
    <s v="Fastfood"/>
    <n v="20"/>
    <x v="6"/>
    <n v="180"/>
    <x v="2"/>
    <s v="Mr."/>
    <s v="Morning"/>
  </r>
  <r>
    <n v="883"/>
    <x v="0"/>
    <x v="0"/>
    <s v="Fastfood"/>
    <n v="20"/>
    <x v="8"/>
    <n v="100"/>
    <x v="2"/>
    <s v="Mrs."/>
    <s v="Midnight"/>
  </r>
  <r>
    <n v="884"/>
    <x v="1"/>
    <x v="1"/>
    <s v="Fastfood"/>
    <n v="20"/>
    <x v="12"/>
    <n v="240"/>
    <x v="2"/>
    <s v="Mr."/>
    <s v="Night"/>
  </r>
  <r>
    <n v="885"/>
    <x v="0"/>
    <x v="2"/>
    <s v="Beverages"/>
    <n v="25"/>
    <x v="9"/>
    <n v="100"/>
    <x v="1"/>
    <s v="Mr."/>
    <s v="Evening"/>
  </r>
  <r>
    <n v="886"/>
    <x v="0"/>
    <x v="2"/>
    <s v="Beverages"/>
    <n v="25"/>
    <x v="9"/>
    <n v="100"/>
    <x v="1"/>
    <s v="Mrs."/>
    <s v="Night"/>
  </r>
  <r>
    <n v="887"/>
    <x v="0"/>
    <x v="0"/>
    <s v="Fastfood"/>
    <n v="20"/>
    <x v="10"/>
    <n v="60"/>
    <x v="1"/>
    <s v="Mr."/>
    <s v="Morning"/>
  </r>
  <r>
    <n v="888"/>
    <x v="0"/>
    <x v="1"/>
    <s v="Fastfood"/>
    <n v="20"/>
    <x v="4"/>
    <n v="160"/>
    <x v="1"/>
    <s v="Mr."/>
    <s v="Evening"/>
  </r>
  <r>
    <n v="889"/>
    <x v="0"/>
    <x v="1"/>
    <s v="Fastfood"/>
    <n v="20"/>
    <x v="5"/>
    <n v="200"/>
    <x v="2"/>
    <s v="Mr."/>
    <s v="Midnight"/>
  </r>
  <r>
    <n v="890"/>
    <x v="1"/>
    <x v="2"/>
    <s v="Beverages"/>
    <n v="25"/>
    <x v="8"/>
    <n v="125"/>
    <x v="1"/>
    <s v="Mrs."/>
    <s v="Morning"/>
  </r>
  <r>
    <n v="891"/>
    <x v="0"/>
    <x v="6"/>
    <s v="Beverages"/>
    <n v="40"/>
    <x v="11"/>
    <n v="440"/>
    <x v="1"/>
    <s v="Mr."/>
    <s v="Midnight"/>
  </r>
  <r>
    <n v="892"/>
    <x v="0"/>
    <x v="2"/>
    <s v="Beverages"/>
    <n v="25"/>
    <x v="14"/>
    <n v="175"/>
    <x v="2"/>
    <s v="Mrs."/>
    <s v="Evening"/>
  </r>
  <r>
    <n v="893"/>
    <x v="0"/>
    <x v="2"/>
    <s v="Beverages"/>
    <n v="25"/>
    <x v="12"/>
    <n v="300"/>
    <x v="1"/>
    <s v="Mrs."/>
    <s v="Afternoon"/>
  </r>
  <r>
    <n v="894"/>
    <x v="1"/>
    <x v="5"/>
    <s v="Fastfood"/>
    <n v="60"/>
    <x v="1"/>
    <n v="900"/>
    <x v="1"/>
    <s v="Mr."/>
    <s v="Morning"/>
  </r>
  <r>
    <n v="895"/>
    <x v="1"/>
    <x v="2"/>
    <s v="Beverages"/>
    <n v="25"/>
    <x v="11"/>
    <n v="275"/>
    <x v="1"/>
    <s v="Mr."/>
    <s v="Afternoon"/>
  </r>
  <r>
    <n v="896"/>
    <x v="0"/>
    <x v="0"/>
    <s v="Fastfood"/>
    <n v="20"/>
    <x v="0"/>
    <n v="260"/>
    <x v="1"/>
    <s v="Mr."/>
    <s v="Night"/>
  </r>
  <r>
    <n v="897"/>
    <x v="0"/>
    <x v="0"/>
    <s v="Fastfood"/>
    <n v="20"/>
    <x v="3"/>
    <n v="120"/>
    <x v="2"/>
    <s v="Mr."/>
    <s v="Morning"/>
  </r>
  <r>
    <n v="898"/>
    <x v="1"/>
    <x v="4"/>
    <s v="Fastfood"/>
    <n v="50"/>
    <x v="4"/>
    <n v="400"/>
    <x v="1"/>
    <s v="Mr."/>
    <s v="Afternoon"/>
  </r>
  <r>
    <n v="899"/>
    <x v="1"/>
    <x v="0"/>
    <s v="Fastfood"/>
    <n v="20"/>
    <x v="14"/>
    <n v="140"/>
    <x v="1"/>
    <s v="Mr."/>
    <s v="Midnight"/>
  </r>
  <r>
    <n v="900"/>
    <x v="0"/>
    <x v="2"/>
    <s v="Beverages"/>
    <n v="25"/>
    <x v="6"/>
    <n v="225"/>
    <x v="2"/>
    <s v="Mr."/>
    <s v="Afternoon"/>
  </r>
  <r>
    <n v="901"/>
    <x v="0"/>
    <x v="1"/>
    <s v="Fastfood"/>
    <n v="20"/>
    <x v="14"/>
    <n v="140"/>
    <x v="2"/>
    <s v="Mrs."/>
    <s v="Morning"/>
  </r>
  <r>
    <n v="902"/>
    <x v="0"/>
    <x v="4"/>
    <s v="Fastfood"/>
    <n v="50"/>
    <x v="9"/>
    <n v="200"/>
    <x v="2"/>
    <s v="Mr."/>
    <s v="Afternoon"/>
  </r>
  <r>
    <n v="903"/>
    <x v="1"/>
    <x v="0"/>
    <s v="Fastfood"/>
    <n v="20"/>
    <x v="1"/>
    <n v="300"/>
    <x v="2"/>
    <s v="Mr."/>
    <s v="Night"/>
  </r>
  <r>
    <n v="904"/>
    <x v="1"/>
    <x v="0"/>
    <s v="Fastfood"/>
    <n v="20"/>
    <x v="9"/>
    <n v="80"/>
    <x v="1"/>
    <s v="Mrs."/>
    <s v="Midnight"/>
  </r>
  <r>
    <n v="905"/>
    <x v="0"/>
    <x v="4"/>
    <s v="Fastfood"/>
    <n v="50"/>
    <x v="1"/>
    <n v="750"/>
    <x v="1"/>
    <s v="Mrs."/>
    <s v="Midnight"/>
  </r>
  <r>
    <n v="906"/>
    <x v="0"/>
    <x v="5"/>
    <s v="Fastfood"/>
    <n v="60"/>
    <x v="1"/>
    <n v="900"/>
    <x v="1"/>
    <s v="Mr."/>
    <s v="Afternoon"/>
  </r>
  <r>
    <n v="907"/>
    <x v="0"/>
    <x v="6"/>
    <s v="Beverages"/>
    <n v="40"/>
    <x v="9"/>
    <n v="160"/>
    <x v="0"/>
    <s v="Mrs."/>
    <s v="Midnight"/>
  </r>
  <r>
    <n v="908"/>
    <x v="1"/>
    <x v="5"/>
    <s v="Fastfood"/>
    <n v="60"/>
    <x v="14"/>
    <n v="420"/>
    <x v="1"/>
    <s v="Mrs."/>
    <s v="Night"/>
  </r>
  <r>
    <n v="909"/>
    <x v="1"/>
    <x v="6"/>
    <s v="Beverages"/>
    <n v="40"/>
    <x v="12"/>
    <n v="480"/>
    <x v="2"/>
    <s v="Mrs."/>
    <s v="Morning"/>
  </r>
  <r>
    <n v="910"/>
    <x v="0"/>
    <x v="3"/>
    <s v="Fastfood"/>
    <n v="20"/>
    <x v="2"/>
    <n v="20"/>
    <x v="1"/>
    <s v="Mrs."/>
    <s v="Afternoon"/>
  </r>
  <r>
    <n v="911"/>
    <x v="0"/>
    <x v="5"/>
    <s v="Fastfood"/>
    <n v="60"/>
    <x v="2"/>
    <n v="60"/>
    <x v="1"/>
    <s v="Mr."/>
    <s v="Evening"/>
  </r>
  <r>
    <n v="912"/>
    <x v="0"/>
    <x v="0"/>
    <s v="Fastfood"/>
    <n v="20"/>
    <x v="3"/>
    <n v="120"/>
    <x v="1"/>
    <s v="Mr."/>
    <s v="Evening"/>
  </r>
  <r>
    <n v="913"/>
    <x v="1"/>
    <x v="4"/>
    <s v="Fastfood"/>
    <n v="50"/>
    <x v="1"/>
    <n v="750"/>
    <x v="2"/>
    <s v="Mr."/>
    <s v="Evening"/>
  </r>
  <r>
    <n v="914"/>
    <x v="1"/>
    <x v="5"/>
    <s v="Fastfood"/>
    <n v="60"/>
    <x v="7"/>
    <n v="840"/>
    <x v="1"/>
    <s v="Mr."/>
    <s v="Night"/>
  </r>
  <r>
    <n v="915"/>
    <x v="0"/>
    <x v="6"/>
    <s v="Beverages"/>
    <n v="40"/>
    <x v="14"/>
    <n v="280"/>
    <x v="2"/>
    <s v="Mr."/>
    <s v="Afternoon"/>
  </r>
  <r>
    <n v="916"/>
    <x v="0"/>
    <x v="6"/>
    <s v="Beverages"/>
    <n v="40"/>
    <x v="1"/>
    <n v="600"/>
    <x v="0"/>
    <s v="Mrs."/>
    <s v="Afternoon"/>
  </r>
  <r>
    <n v="917"/>
    <x v="0"/>
    <x v="1"/>
    <s v="Fastfood"/>
    <n v="20"/>
    <x v="1"/>
    <n v="300"/>
    <x v="2"/>
    <s v="Mr."/>
    <s v="Evening"/>
  </r>
  <r>
    <n v="918"/>
    <x v="0"/>
    <x v="3"/>
    <s v="Fastfood"/>
    <n v="20"/>
    <x v="3"/>
    <n v="120"/>
    <x v="1"/>
    <s v="Mr."/>
    <s v="Evening"/>
  </r>
  <r>
    <n v="919"/>
    <x v="1"/>
    <x v="1"/>
    <s v="Fastfood"/>
    <n v="20"/>
    <x v="4"/>
    <n v="160"/>
    <x v="2"/>
    <s v="Mrs."/>
    <s v="Evening"/>
  </r>
  <r>
    <n v="920"/>
    <x v="0"/>
    <x v="4"/>
    <s v="Fastfood"/>
    <n v="50"/>
    <x v="0"/>
    <n v="650"/>
    <x v="2"/>
    <s v="Mr."/>
    <s v="Evening"/>
  </r>
  <r>
    <n v="921"/>
    <x v="0"/>
    <x v="1"/>
    <s v="Fastfood"/>
    <n v="20"/>
    <x v="7"/>
    <n v="280"/>
    <x v="1"/>
    <s v="Mr."/>
    <s v="Midnight"/>
  </r>
  <r>
    <n v="922"/>
    <x v="0"/>
    <x v="4"/>
    <s v="Fastfood"/>
    <n v="50"/>
    <x v="8"/>
    <n v="250"/>
    <x v="2"/>
    <s v="Mrs."/>
    <s v="Evening"/>
  </r>
  <r>
    <n v="923"/>
    <x v="0"/>
    <x v="6"/>
    <s v="Beverages"/>
    <n v="40"/>
    <x v="10"/>
    <n v="120"/>
    <x v="2"/>
    <s v="Mr."/>
    <s v="Morning"/>
  </r>
  <r>
    <n v="924"/>
    <x v="0"/>
    <x v="3"/>
    <s v="Fastfood"/>
    <n v="20"/>
    <x v="7"/>
    <n v="280"/>
    <x v="1"/>
    <s v="Mr."/>
    <s v="Afternoon"/>
  </r>
  <r>
    <n v="925"/>
    <x v="0"/>
    <x v="4"/>
    <s v="Fastfood"/>
    <n v="50"/>
    <x v="9"/>
    <n v="200"/>
    <x v="2"/>
    <s v="Mrs."/>
    <s v="Afternoon"/>
  </r>
  <r>
    <n v="926"/>
    <x v="1"/>
    <x v="4"/>
    <s v="Fastfood"/>
    <n v="50"/>
    <x v="1"/>
    <n v="750"/>
    <x v="1"/>
    <s v="Mrs."/>
    <s v="Afternoon"/>
  </r>
  <r>
    <n v="927"/>
    <x v="0"/>
    <x v="6"/>
    <s v="Beverages"/>
    <n v="40"/>
    <x v="3"/>
    <n v="240"/>
    <x v="0"/>
    <s v="Mrs."/>
    <s v="Evening"/>
  </r>
  <r>
    <n v="928"/>
    <x v="0"/>
    <x v="5"/>
    <s v="Fastfood"/>
    <n v="60"/>
    <x v="11"/>
    <n v="660"/>
    <x v="2"/>
    <s v="Mr."/>
    <s v="Evening"/>
  </r>
  <r>
    <n v="929"/>
    <x v="0"/>
    <x v="4"/>
    <s v="Fastfood"/>
    <n v="50"/>
    <x v="6"/>
    <n v="450"/>
    <x v="2"/>
    <s v="Mrs."/>
    <s v="Night"/>
  </r>
  <r>
    <n v="930"/>
    <x v="0"/>
    <x v="2"/>
    <s v="Beverages"/>
    <n v="25"/>
    <x v="5"/>
    <n v="250"/>
    <x v="2"/>
    <s v="Mr."/>
    <s v="Night"/>
  </r>
  <r>
    <n v="931"/>
    <x v="0"/>
    <x v="0"/>
    <s v="Fastfood"/>
    <n v="20"/>
    <x v="1"/>
    <n v="300"/>
    <x v="1"/>
    <s v="Mr."/>
    <s v="Afternoon"/>
  </r>
  <r>
    <n v="932"/>
    <x v="0"/>
    <x v="5"/>
    <s v="Fastfood"/>
    <n v="60"/>
    <x v="6"/>
    <n v="540"/>
    <x v="2"/>
    <s v="Mr."/>
    <s v="Afternoon"/>
  </r>
  <r>
    <n v="933"/>
    <x v="1"/>
    <x v="2"/>
    <s v="Beverages"/>
    <n v="25"/>
    <x v="1"/>
    <n v="375"/>
    <x v="2"/>
    <s v="Mrs."/>
    <s v="Afternoon"/>
  </r>
  <r>
    <n v="934"/>
    <x v="0"/>
    <x v="6"/>
    <s v="Beverages"/>
    <n v="40"/>
    <x v="9"/>
    <n v="160"/>
    <x v="1"/>
    <s v="Mrs."/>
    <s v="Afternoon"/>
  </r>
  <r>
    <n v="935"/>
    <x v="1"/>
    <x v="5"/>
    <s v="Fastfood"/>
    <n v="60"/>
    <x v="12"/>
    <n v="720"/>
    <x v="1"/>
    <s v="Mr."/>
    <s v="Midnight"/>
  </r>
  <r>
    <n v="936"/>
    <x v="0"/>
    <x v="3"/>
    <s v="Fastfood"/>
    <n v="20"/>
    <x v="13"/>
    <n v="40"/>
    <x v="0"/>
    <s v="Mr."/>
    <s v="Midnight"/>
  </r>
  <r>
    <n v="937"/>
    <x v="0"/>
    <x v="3"/>
    <s v="Fastfood"/>
    <n v="20"/>
    <x v="9"/>
    <n v="80"/>
    <x v="1"/>
    <s v="Mr."/>
    <s v="Night"/>
  </r>
  <r>
    <n v="938"/>
    <x v="0"/>
    <x v="2"/>
    <s v="Beverages"/>
    <n v="25"/>
    <x v="7"/>
    <n v="350"/>
    <x v="1"/>
    <s v="Mr."/>
    <s v="Evening"/>
  </r>
  <r>
    <n v="939"/>
    <x v="1"/>
    <x v="1"/>
    <s v="Fastfood"/>
    <n v="20"/>
    <x v="1"/>
    <n v="300"/>
    <x v="2"/>
    <s v="Mr."/>
    <s v="Midnight"/>
  </r>
  <r>
    <n v="940"/>
    <x v="1"/>
    <x v="2"/>
    <s v="Beverages"/>
    <n v="25"/>
    <x v="7"/>
    <n v="350"/>
    <x v="2"/>
    <s v="Mrs."/>
    <s v="Midnight"/>
  </r>
  <r>
    <n v="941"/>
    <x v="1"/>
    <x v="6"/>
    <s v="Beverages"/>
    <n v="40"/>
    <x v="5"/>
    <n v="400"/>
    <x v="2"/>
    <s v="Mrs."/>
    <s v="Morning"/>
  </r>
  <r>
    <n v="942"/>
    <x v="0"/>
    <x v="4"/>
    <s v="Fastfood"/>
    <n v="50"/>
    <x v="3"/>
    <n v="300"/>
    <x v="1"/>
    <s v="Mr."/>
    <s v="Night"/>
  </r>
  <r>
    <n v="943"/>
    <x v="0"/>
    <x v="1"/>
    <s v="Fastfood"/>
    <n v="20"/>
    <x v="3"/>
    <n v="120"/>
    <x v="1"/>
    <s v="Mrs."/>
    <s v="Night"/>
  </r>
  <r>
    <n v="944"/>
    <x v="0"/>
    <x v="0"/>
    <s v="Fastfood"/>
    <n v="20"/>
    <x v="13"/>
    <n v="40"/>
    <x v="1"/>
    <s v="Mr."/>
    <s v="Midnight"/>
  </r>
  <r>
    <n v="945"/>
    <x v="0"/>
    <x v="6"/>
    <s v="Beverages"/>
    <n v="40"/>
    <x v="13"/>
    <n v="80"/>
    <x v="2"/>
    <s v="Mrs."/>
    <s v="Afternoon"/>
  </r>
  <r>
    <n v="946"/>
    <x v="1"/>
    <x v="5"/>
    <s v="Fastfood"/>
    <n v="60"/>
    <x v="4"/>
    <n v="480"/>
    <x v="1"/>
    <s v="Mr."/>
    <s v="Midnight"/>
  </r>
  <r>
    <n v="947"/>
    <x v="0"/>
    <x v="0"/>
    <s v="Fastfood"/>
    <n v="20"/>
    <x v="11"/>
    <n v="220"/>
    <x v="2"/>
    <s v="Mr."/>
    <s v="Night"/>
  </r>
  <r>
    <n v="948"/>
    <x v="1"/>
    <x v="5"/>
    <s v="Fastfood"/>
    <n v="60"/>
    <x v="5"/>
    <n v="600"/>
    <x v="2"/>
    <s v="Mr."/>
    <s v="Evening"/>
  </r>
  <r>
    <n v="949"/>
    <x v="1"/>
    <x v="3"/>
    <s v="Fastfood"/>
    <n v="20"/>
    <x v="2"/>
    <n v="20"/>
    <x v="1"/>
    <s v="Mrs."/>
    <s v="Evening"/>
  </r>
  <r>
    <n v="950"/>
    <x v="0"/>
    <x v="4"/>
    <s v="Fastfood"/>
    <n v="50"/>
    <x v="3"/>
    <n v="300"/>
    <x v="2"/>
    <s v="Mrs."/>
    <s v="Evening"/>
  </r>
  <r>
    <n v="951"/>
    <x v="0"/>
    <x v="3"/>
    <s v="Fastfood"/>
    <n v="20"/>
    <x v="11"/>
    <n v="220"/>
    <x v="1"/>
    <s v="Mrs."/>
    <s v="Afternoon"/>
  </r>
  <r>
    <n v="952"/>
    <x v="0"/>
    <x v="0"/>
    <s v="Fastfood"/>
    <n v="20"/>
    <x v="7"/>
    <n v="280"/>
    <x v="1"/>
    <s v="Mrs."/>
    <s v="Evening"/>
  </r>
  <r>
    <n v="953"/>
    <x v="0"/>
    <x v="5"/>
    <s v="Fastfood"/>
    <n v="60"/>
    <x v="13"/>
    <n v="120"/>
    <x v="2"/>
    <s v="Mrs."/>
    <s v="Afternoon"/>
  </r>
  <r>
    <n v="954"/>
    <x v="1"/>
    <x v="0"/>
    <s v="Fastfood"/>
    <n v="20"/>
    <x v="10"/>
    <n v="60"/>
    <x v="1"/>
    <s v="Mrs."/>
    <s v="Midnight"/>
  </r>
  <r>
    <n v="955"/>
    <x v="1"/>
    <x v="2"/>
    <s v="Beverages"/>
    <n v="25"/>
    <x v="14"/>
    <n v="175"/>
    <x v="2"/>
    <s v="Mr."/>
    <s v="Afternoon"/>
  </r>
  <r>
    <n v="956"/>
    <x v="0"/>
    <x v="4"/>
    <s v="Fastfood"/>
    <n v="50"/>
    <x v="0"/>
    <n v="650"/>
    <x v="2"/>
    <s v="Mr."/>
    <s v="Morning"/>
  </r>
  <r>
    <n v="957"/>
    <x v="1"/>
    <x v="3"/>
    <s v="Fastfood"/>
    <n v="20"/>
    <x v="10"/>
    <n v="60"/>
    <x v="2"/>
    <s v="Mrs."/>
    <s v="Midnight"/>
  </r>
  <r>
    <n v="958"/>
    <x v="0"/>
    <x v="5"/>
    <s v="Fastfood"/>
    <n v="60"/>
    <x v="11"/>
    <n v="660"/>
    <x v="2"/>
    <s v="Mrs."/>
    <s v="Night"/>
  </r>
  <r>
    <n v="959"/>
    <x v="0"/>
    <x v="1"/>
    <s v="Fastfood"/>
    <n v="20"/>
    <x v="4"/>
    <n v="160"/>
    <x v="2"/>
    <s v="Mrs."/>
    <s v="Midnight"/>
  </r>
  <r>
    <n v="960"/>
    <x v="0"/>
    <x v="2"/>
    <s v="Beverages"/>
    <n v="25"/>
    <x v="1"/>
    <n v="375"/>
    <x v="2"/>
    <s v="Mrs."/>
    <s v="Evening"/>
  </r>
  <r>
    <n v="961"/>
    <x v="1"/>
    <x v="4"/>
    <s v="Fastfood"/>
    <n v="50"/>
    <x v="0"/>
    <n v="650"/>
    <x v="1"/>
    <s v="Mr."/>
    <s v="Night"/>
  </r>
  <r>
    <n v="962"/>
    <x v="0"/>
    <x v="4"/>
    <s v="Fastfood"/>
    <n v="50"/>
    <x v="0"/>
    <n v="650"/>
    <x v="2"/>
    <s v="Mrs."/>
    <s v="Afternoon"/>
  </r>
  <r>
    <n v="963"/>
    <x v="0"/>
    <x v="1"/>
    <s v="Fastfood"/>
    <n v="20"/>
    <x v="3"/>
    <n v="120"/>
    <x v="1"/>
    <s v="Mrs."/>
    <s v="Morning"/>
  </r>
  <r>
    <n v="964"/>
    <x v="0"/>
    <x v="6"/>
    <s v="Beverages"/>
    <n v="40"/>
    <x v="4"/>
    <n v="320"/>
    <x v="1"/>
    <s v="Mr."/>
    <s v="Evening"/>
  </r>
  <r>
    <n v="965"/>
    <x v="0"/>
    <x v="4"/>
    <s v="Fastfood"/>
    <n v="50"/>
    <x v="8"/>
    <n v="250"/>
    <x v="2"/>
    <s v="Mrs."/>
    <s v="Night"/>
  </r>
  <r>
    <n v="966"/>
    <x v="1"/>
    <x v="3"/>
    <s v="Fastfood"/>
    <n v="20"/>
    <x v="11"/>
    <n v="220"/>
    <x v="2"/>
    <s v="Mrs."/>
    <s v="Morning"/>
  </r>
  <r>
    <n v="967"/>
    <x v="0"/>
    <x v="6"/>
    <s v="Beverages"/>
    <n v="40"/>
    <x v="7"/>
    <n v="560"/>
    <x v="1"/>
    <s v="Mr."/>
    <s v="Afternoon"/>
  </r>
  <r>
    <n v="968"/>
    <x v="0"/>
    <x v="6"/>
    <s v="Beverages"/>
    <n v="40"/>
    <x v="1"/>
    <n v="600"/>
    <x v="1"/>
    <s v="Mrs."/>
    <s v="Morning"/>
  </r>
  <r>
    <n v="969"/>
    <x v="0"/>
    <x v="6"/>
    <s v="Beverages"/>
    <n v="40"/>
    <x v="11"/>
    <n v="440"/>
    <x v="1"/>
    <s v="Mr."/>
    <s v="Morning"/>
  </r>
  <r>
    <n v="970"/>
    <x v="0"/>
    <x v="0"/>
    <s v="Fastfood"/>
    <n v="20"/>
    <x v="8"/>
    <n v="100"/>
    <x v="2"/>
    <s v="Mrs."/>
    <s v="Afternoon"/>
  </r>
  <r>
    <n v="971"/>
    <x v="0"/>
    <x v="4"/>
    <s v="Fastfood"/>
    <n v="50"/>
    <x v="13"/>
    <n v="100"/>
    <x v="1"/>
    <s v="Mrs."/>
    <s v="Morning"/>
  </r>
  <r>
    <n v="972"/>
    <x v="1"/>
    <x v="0"/>
    <s v="Fastfood"/>
    <n v="20"/>
    <x v="2"/>
    <n v="20"/>
    <x v="1"/>
    <s v="Mrs."/>
    <s v="Afternoon"/>
  </r>
  <r>
    <n v="973"/>
    <x v="0"/>
    <x v="2"/>
    <s v="Beverages"/>
    <n v="25"/>
    <x v="2"/>
    <n v="25"/>
    <x v="0"/>
    <s v="Mrs."/>
    <s v="Morning"/>
  </r>
  <r>
    <n v="974"/>
    <x v="1"/>
    <x v="1"/>
    <s v="Fastfood"/>
    <n v="20"/>
    <x v="0"/>
    <n v="260"/>
    <x v="2"/>
    <s v="Mr."/>
    <s v="Afternoon"/>
  </r>
  <r>
    <n v="975"/>
    <x v="1"/>
    <x v="0"/>
    <s v="Fastfood"/>
    <n v="20"/>
    <x v="2"/>
    <n v="20"/>
    <x v="1"/>
    <s v="Mr."/>
    <s v="Midnight"/>
  </r>
  <r>
    <n v="976"/>
    <x v="0"/>
    <x v="2"/>
    <s v="Beverages"/>
    <n v="25"/>
    <x v="11"/>
    <n v="275"/>
    <x v="0"/>
    <s v="Mrs."/>
    <s v="Morning"/>
  </r>
  <r>
    <n v="977"/>
    <x v="1"/>
    <x v="0"/>
    <s v="Fastfood"/>
    <n v="20"/>
    <x v="2"/>
    <n v="20"/>
    <x v="1"/>
    <s v="Mr."/>
    <s v="Evening"/>
  </r>
  <r>
    <n v="978"/>
    <x v="0"/>
    <x v="4"/>
    <s v="Fastfood"/>
    <n v="50"/>
    <x v="13"/>
    <n v="100"/>
    <x v="2"/>
    <s v="Mr."/>
    <s v="Night"/>
  </r>
  <r>
    <n v="979"/>
    <x v="0"/>
    <x v="0"/>
    <s v="Fastfood"/>
    <n v="20"/>
    <x v="0"/>
    <n v="260"/>
    <x v="1"/>
    <s v="Mrs."/>
    <s v="Midnight"/>
  </r>
  <r>
    <n v="980"/>
    <x v="0"/>
    <x v="1"/>
    <s v="Fastfood"/>
    <n v="20"/>
    <x v="6"/>
    <n v="180"/>
    <x v="2"/>
    <s v="Mr."/>
    <s v="Morning"/>
  </r>
  <r>
    <n v="981"/>
    <x v="1"/>
    <x v="3"/>
    <s v="Fastfood"/>
    <n v="20"/>
    <x v="1"/>
    <n v="300"/>
    <x v="2"/>
    <s v="Mr."/>
    <s v="Midnight"/>
  </r>
  <r>
    <n v="982"/>
    <x v="1"/>
    <x v="2"/>
    <s v="Beverages"/>
    <n v="25"/>
    <x v="7"/>
    <n v="350"/>
    <x v="1"/>
    <s v="Mrs."/>
    <s v="Night"/>
  </r>
  <r>
    <n v="983"/>
    <x v="1"/>
    <x v="6"/>
    <s v="Beverages"/>
    <n v="40"/>
    <x v="5"/>
    <n v="400"/>
    <x v="0"/>
    <s v="Mrs."/>
    <s v="Night"/>
  </r>
  <r>
    <n v="984"/>
    <x v="1"/>
    <x v="4"/>
    <s v="Fastfood"/>
    <n v="50"/>
    <x v="10"/>
    <n v="150"/>
    <x v="1"/>
    <s v="Mr."/>
    <s v="Afternoon"/>
  </r>
  <r>
    <n v="985"/>
    <x v="0"/>
    <x v="4"/>
    <s v="Fastfood"/>
    <n v="50"/>
    <x v="2"/>
    <n v="50"/>
    <x v="1"/>
    <s v="Mrs."/>
    <s v="Afternoon"/>
  </r>
  <r>
    <n v="986"/>
    <x v="0"/>
    <x v="2"/>
    <s v="Beverages"/>
    <n v="25"/>
    <x v="0"/>
    <n v="325"/>
    <x v="2"/>
    <s v="Mr."/>
    <s v="Night"/>
  </r>
  <r>
    <n v="987"/>
    <x v="1"/>
    <x v="1"/>
    <s v="Fastfood"/>
    <n v="20"/>
    <x v="10"/>
    <n v="60"/>
    <x v="1"/>
    <s v="Mrs."/>
    <s v="Evening"/>
  </r>
  <r>
    <n v="988"/>
    <x v="1"/>
    <x v="4"/>
    <s v="Fastfood"/>
    <n v="50"/>
    <x v="0"/>
    <n v="650"/>
    <x v="0"/>
    <s v="Mrs."/>
    <s v="Night"/>
  </r>
  <r>
    <n v="989"/>
    <x v="0"/>
    <x v="6"/>
    <s v="Beverages"/>
    <n v="40"/>
    <x v="0"/>
    <n v="520"/>
    <x v="1"/>
    <s v="Mr."/>
    <s v="Afternoon"/>
  </r>
  <r>
    <n v="990"/>
    <x v="0"/>
    <x v="1"/>
    <s v="Fastfood"/>
    <n v="20"/>
    <x v="5"/>
    <n v="200"/>
    <x v="2"/>
    <s v="Mrs."/>
    <s v="Morning"/>
  </r>
  <r>
    <n v="991"/>
    <x v="1"/>
    <x v="5"/>
    <s v="Fastfood"/>
    <n v="60"/>
    <x v="14"/>
    <n v="420"/>
    <x v="1"/>
    <s v="Mrs."/>
    <s v="Night"/>
  </r>
  <r>
    <n v="992"/>
    <x v="0"/>
    <x v="5"/>
    <s v="Fastfood"/>
    <n v="60"/>
    <x v="8"/>
    <n v="300"/>
    <x v="1"/>
    <s v="Mr."/>
    <s v="Morning"/>
  </r>
  <r>
    <n v="993"/>
    <x v="0"/>
    <x v="4"/>
    <s v="Fastfood"/>
    <n v="50"/>
    <x v="10"/>
    <n v="150"/>
    <x v="2"/>
    <s v="Mrs."/>
    <s v="Night"/>
  </r>
  <r>
    <n v="994"/>
    <x v="0"/>
    <x v="3"/>
    <s v="Fastfood"/>
    <n v="20"/>
    <x v="13"/>
    <n v="40"/>
    <x v="2"/>
    <s v="Mrs."/>
    <s v="Evening"/>
  </r>
  <r>
    <n v="995"/>
    <x v="0"/>
    <x v="2"/>
    <s v="Beverages"/>
    <n v="25"/>
    <x v="2"/>
    <n v="25"/>
    <x v="2"/>
    <s v="Mr."/>
    <s v="Night"/>
  </r>
  <r>
    <n v="996"/>
    <x v="1"/>
    <x v="4"/>
    <s v="Fastfood"/>
    <n v="50"/>
    <x v="5"/>
    <n v="500"/>
    <x v="0"/>
    <s v="Mrs."/>
    <s v="Evening"/>
  </r>
  <r>
    <n v="997"/>
    <x v="0"/>
    <x v="5"/>
    <s v="Fastfood"/>
    <n v="60"/>
    <x v="14"/>
    <n v="420"/>
    <x v="0"/>
    <s v="Mr."/>
    <s v="Evening"/>
  </r>
  <r>
    <n v="998"/>
    <x v="1"/>
    <x v="5"/>
    <s v="Fastfood"/>
    <n v="60"/>
    <x v="0"/>
    <n v="780"/>
    <x v="0"/>
    <s v="Mr."/>
    <s v="Evening"/>
  </r>
  <r>
    <n v="999"/>
    <x v="0"/>
    <x v="3"/>
    <s v="Fastfood"/>
    <n v="20"/>
    <x v="8"/>
    <n v="100"/>
    <x v="0"/>
    <s v="Mrs."/>
    <s v="Afternoon"/>
  </r>
  <r>
    <n v="1000"/>
    <x v="0"/>
    <x v="0"/>
    <s v="Fastfood"/>
    <n v="20"/>
    <x v="10"/>
    <n v="60"/>
    <x v="2"/>
    <s v="Mrs."/>
    <s v="Midnigh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31D75-8CE6-496E-A645-FC5FA097E36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E12" firstHeaderRow="1" firstDataRow="2" firstDataCol="1"/>
  <pivotFields count="10">
    <pivotField showAll="0"/>
    <pivotField axis="axisCol" showAll="0">
      <items count="3">
        <item x="0"/>
        <item x="1"/>
        <item t="default"/>
      </items>
    </pivotField>
    <pivotField axis="axisRow" showAll="0">
      <items count="8">
        <item x="0"/>
        <item x="6"/>
        <item x="4"/>
        <item x="3"/>
        <item x="5"/>
        <item x="2"/>
        <item x="1"/>
        <item t="default"/>
      </items>
    </pivotField>
    <pivotField showAll="0"/>
    <pivotField showAll="0"/>
    <pivotField dataField="1" showAll="0">
      <items count="16">
        <item x="2"/>
        <item x="13"/>
        <item x="10"/>
        <item x="9"/>
        <item x="8"/>
        <item x="3"/>
        <item x="14"/>
        <item x="4"/>
        <item x="6"/>
        <item x="5"/>
        <item x="11"/>
        <item x="12"/>
        <item x="0"/>
        <item x="7"/>
        <item x="1"/>
        <item t="default"/>
      </items>
    </pivotField>
    <pivotField showAll="0"/>
    <pivotField multipleItemSelectionAllowed="1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a de quantity" fld="5" showDataAs="percentOfCol" baseField="0" baseItem="0" numFmtId="10"/>
  </dataFields>
  <formats count="4">
    <format dxfId="14">
      <pivotArea field="2" grandCol="1" collapsedLevelsAreSubtotals="1" axis="axisRow" fieldPosition="0">
        <references count="1">
          <reference field="2" count="0"/>
        </references>
      </pivotArea>
    </format>
    <format dxfId="13">
      <pivotArea dataOnly="0" labelOnly="1" grandCol="1" outline="0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type="all" dataOnly="0" outline="0" fieldPosition="0"/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8201461-57E1-407C-BF7E-597F24E34A8D}" name="Tabla25" displayName="Tabla25" ref="B3:G10" totalsRowShown="0" headerRowDxfId="22" dataDxfId="21">
  <autoFilter ref="B3:G10" xr:uid="{38201461-57E1-407C-BF7E-597F24E34A8D}"/>
  <tableColumns count="6">
    <tableColumn id="1" xr3:uid="{9DB35F41-C7AB-492D-82FC-ACD656C90C23}" name="ITEM" dataDxfId="20"/>
    <tableColumn id="2" xr3:uid="{3E336787-C479-4FB9-9E3D-11DE32A222A8}" name="MEAN_transaction_amount" dataDxfId="19">
      <calculatedColumnFormula>AVERAGEIFS(transaction_amount,item_name,B4)</calculatedColumnFormula>
    </tableColumn>
    <tableColumn id="3" xr3:uid="{CAE56D2D-0115-413F-9360-5365B8B13818}" name="MEAN_quantity" dataDxfId="18">
      <calculatedColumnFormula>AVERAGEIFS(quantity,item_name,B4)</calculatedColumnFormula>
    </tableColumn>
    <tableColumn id="4" xr3:uid="{B0E464EC-AC04-49E3-A092-53B892241628}" name="PRICES" dataDxfId="17"/>
    <tableColumn id="5" xr3:uid="{BAC1C0F9-203D-4AE2-8EDB-E72F15281A21}" name="Quantity" dataDxfId="16">
      <calculatedColumnFormula>SUMIFS(quantity,item_name,B4)</calculatedColumnFormula>
    </tableColumn>
    <tableColumn id="6" xr3:uid="{27D7493D-ED32-4037-9F8F-B3048654B3B6}" name="TOTALrevenue" dataDxfId="15">
      <calculatedColumnFormula>SUMIFS(transaction_amount,item_name,B4)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33E8DEE-5310-46E5-9EAE-FCBAD4EB86B4}" name="Tabla22" displayName="Tabla22" ref="B3:O1003" totalsRowShown="0">
  <autoFilter ref="B3:O1003" xr:uid="{D33E8DEE-5310-46E5-9EAE-FCBAD4EB86B4}"/>
  <tableColumns count="14">
    <tableColumn id="1" xr3:uid="{50CEDB4A-533C-44F6-AAAA-FCC81DC40F71}" name="order_id"/>
    <tableColumn id="2" xr3:uid="{A3636820-8459-485C-965B-FEE6F09BD8E8}" name="date" dataDxfId="10"/>
    <tableColumn id="3" xr3:uid="{6D8747C6-6F69-46D6-895D-2F502B6FA7F0}" name="item_name"/>
    <tableColumn id="4" xr3:uid="{9FC01235-79E6-4143-A1EF-CE03409F9BD4}" name="item_type"/>
    <tableColumn id="5" xr3:uid="{67B62F82-97F5-4418-B2D3-30F62CE2FB5F}" name="item_price"/>
    <tableColumn id="6" xr3:uid="{579DB4F4-C6CB-4822-B386-C6AED31E6441}" name="quantity"/>
    <tableColumn id="7" xr3:uid="{013839B4-B484-45D9-8DCA-B919CAD6FBAB}" name="transaction_amount"/>
    <tableColumn id="8" xr3:uid="{CE97E48D-3A52-4854-BEA1-09799A0ECF53}" name="transaction_type"/>
    <tableColumn id="9" xr3:uid="{D1F6505A-DFBB-4446-836A-53991784187B}" name="received_by"/>
    <tableColumn id="10" xr3:uid="{E1695734-1E77-4927-A998-32EC64D9F08E}" name="time_of_sale"/>
    <tableColumn id="11" xr3:uid="{4C9069C9-D8AC-4C49-A89E-1E06553BC9B7}" name="fecha_de_venta">
      <calculatedColumnFormula>YEAR(C4)</calculatedColumnFormula>
    </tableColumn>
    <tableColumn id="12" xr3:uid="{5FCCBEB0-CA48-4F75-977F-2C6DBB8DE1E7}" name="mes_venta" dataDxfId="9">
      <calculatedColumnFormula>DATE(YEAR(C4),MONTH(C4),1)</calculatedColumnFormula>
    </tableColumn>
    <tableColumn id="13" xr3:uid="{B30DDC52-CFD1-4470-AAAE-3B717875FCEE}" name="método de pago">
      <calculatedColumnFormula>IF(I4 = "", "Sin registrar",I4)</calculatedColumnFormula>
    </tableColumn>
    <tableColumn id="14" xr3:uid="{95B6B3FC-6621-49B1-B960-CE21E30040D3}" name="tamaño pedido" dataDxfId="8">
      <calculatedColumnFormula>IF(Tabla22[[#This Row],[quantity]]&gt;=umbral_grande, "Grande", IF(Tabla22[[#This Row],[quantity]]&gt;=umbral_mediano,"Mediano", "Pequeño"))</calculatedColumnFormula>
    </tableColumn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60905F5-948D-4A68-AD6B-AA151B6C1F5E}" name="Tabla23" displayName="Tabla23" ref="B5:D12" totalsRowShown="0" headerRowDxfId="7" tableBorderDxfId="6">
  <autoFilter ref="B5:D12" xr:uid="{E60905F5-948D-4A68-AD6B-AA151B6C1F5E}"/>
  <tableColumns count="3">
    <tableColumn id="1" xr3:uid="{4B0580E5-0F12-4EBB-A98E-3FD764C815A6}" name="item_name_1" dataDxfId="5"/>
    <tableColumn id="2" xr3:uid="{E6D90CED-A703-4A5B-9ED6-7C6DC11B55E7}" name="item_type" dataDxfId="4"/>
    <tableColumn id="3" xr3:uid="{E77888B1-4344-4AB5-81C2-7B096D8583C0}" name="item_price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C5A9E-F34B-4488-8B53-CA6F3C78BCF4}">
  <dimension ref="A3:G19"/>
  <sheetViews>
    <sheetView tabSelected="1" workbookViewId="0">
      <selection activeCell="C20" sqref="C20"/>
    </sheetView>
  </sheetViews>
  <sheetFormatPr baseColWidth="10" defaultRowHeight="13.2" x14ac:dyDescent="0.25"/>
  <cols>
    <col min="1" max="1" width="5.77734375" customWidth="1"/>
    <col min="2" max="4" width="40.77734375" customWidth="1"/>
  </cols>
  <sheetData>
    <row r="3" spans="1:7" ht="27.6" x14ac:dyDescent="0.45">
      <c r="A3" s="4"/>
      <c r="B3" s="62" t="s">
        <v>64</v>
      </c>
      <c r="C3" s="62"/>
      <c r="D3" s="62"/>
    </row>
    <row r="4" spans="1:7" ht="15" x14ac:dyDescent="0.25">
      <c r="B4" s="7" t="s">
        <v>43</v>
      </c>
      <c r="C4" s="2" t="s">
        <v>46</v>
      </c>
      <c r="D4" s="2"/>
      <c r="E4" s="2"/>
      <c r="F4" s="2"/>
    </row>
    <row r="5" spans="1:7" x14ac:dyDescent="0.25">
      <c r="B5" s="5" t="s">
        <v>47</v>
      </c>
      <c r="C5" s="5"/>
      <c r="D5" s="2"/>
      <c r="E5" s="2"/>
      <c r="F5" s="2"/>
    </row>
    <row r="6" spans="1:7" x14ac:dyDescent="0.25">
      <c r="B6" s="2"/>
      <c r="C6" s="2"/>
      <c r="D6" s="2"/>
      <c r="E6" s="2"/>
      <c r="F6" s="2"/>
    </row>
    <row r="7" spans="1:7" ht="15" x14ac:dyDescent="0.25">
      <c r="B7" s="7" t="s">
        <v>44</v>
      </c>
      <c r="C7" s="2"/>
      <c r="D7" s="2"/>
      <c r="E7" s="2"/>
      <c r="F7" s="2"/>
    </row>
    <row r="8" spans="1:7" x14ac:dyDescent="0.25">
      <c r="B8" s="2" t="s">
        <v>48</v>
      </c>
      <c r="C8" s="2"/>
      <c r="D8" s="2"/>
      <c r="E8" s="2"/>
      <c r="F8" s="2"/>
    </row>
    <row r="9" spans="1:7" x14ac:dyDescent="0.25">
      <c r="B9" s="2" t="s">
        <v>56</v>
      </c>
      <c r="C9" s="2"/>
      <c r="D9" s="2"/>
      <c r="E9" s="2"/>
      <c r="F9" s="2"/>
    </row>
    <row r="10" spans="1:7" x14ac:dyDescent="0.25">
      <c r="B10" s="2"/>
      <c r="C10" s="2"/>
      <c r="D10" s="2"/>
      <c r="E10" s="2"/>
      <c r="F10" s="2"/>
    </row>
    <row r="11" spans="1:7" ht="15" x14ac:dyDescent="0.25">
      <c r="B11" s="7" t="s">
        <v>45</v>
      </c>
      <c r="C11" s="2"/>
      <c r="D11" s="2"/>
      <c r="E11" s="2"/>
      <c r="F11" s="2"/>
    </row>
    <row r="12" spans="1:7" ht="15" x14ac:dyDescent="0.25">
      <c r="B12" s="6" t="s">
        <v>57</v>
      </c>
      <c r="C12" s="6" t="s">
        <v>58</v>
      </c>
      <c r="D12" s="2"/>
      <c r="E12" s="2"/>
      <c r="F12" s="2"/>
    </row>
    <row r="13" spans="1:7" x14ac:dyDescent="0.25">
      <c r="B13" s="8" t="s">
        <v>49</v>
      </c>
      <c r="C13" t="s">
        <v>108</v>
      </c>
    </row>
    <row r="14" spans="1:7" x14ac:dyDescent="0.25">
      <c r="B14" s="8" t="s">
        <v>50</v>
      </c>
      <c r="C14" t="s">
        <v>59</v>
      </c>
      <c r="G14" s="3"/>
    </row>
    <row r="15" spans="1:7" x14ac:dyDescent="0.25">
      <c r="B15" s="8" t="s">
        <v>51</v>
      </c>
      <c r="C15" t="s">
        <v>60</v>
      </c>
    </row>
    <row r="16" spans="1:7" x14ac:dyDescent="0.25">
      <c r="B16" s="8" t="s">
        <v>52</v>
      </c>
      <c r="C16" t="s">
        <v>61</v>
      </c>
    </row>
    <row r="17" spans="2:3" x14ac:dyDescent="0.25">
      <c r="B17" s="8" t="s">
        <v>53</v>
      </c>
      <c r="C17" t="s">
        <v>62</v>
      </c>
    </row>
    <row r="18" spans="2:3" x14ac:dyDescent="0.25">
      <c r="B18" s="8" t="s">
        <v>54</v>
      </c>
      <c r="C18" t="s">
        <v>109</v>
      </c>
    </row>
    <row r="19" spans="2:3" x14ac:dyDescent="0.25">
      <c r="B19" s="8" t="s">
        <v>55</v>
      </c>
      <c r="C19" t="s">
        <v>63</v>
      </c>
    </row>
  </sheetData>
  <mergeCells count="1">
    <mergeCell ref="B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C9DC-526E-4B92-A9A7-CC63A5BA5E78}">
  <dimension ref="B3:I7"/>
  <sheetViews>
    <sheetView workbookViewId="0">
      <selection activeCell="A6" sqref="A6"/>
    </sheetView>
  </sheetViews>
  <sheetFormatPr baseColWidth="10" defaultRowHeight="13.2" x14ac:dyDescent="0.25"/>
  <cols>
    <col min="1" max="1" width="5.77734375" customWidth="1"/>
    <col min="2" max="2" width="13.44140625" bestFit="1" customWidth="1"/>
    <col min="4" max="4" width="11.6640625" bestFit="1" customWidth="1"/>
    <col min="6" max="6" width="11.6640625" bestFit="1" customWidth="1"/>
    <col min="9" max="9" width="11.6640625" bestFit="1" customWidth="1"/>
  </cols>
  <sheetData>
    <row r="3" spans="2:9" ht="24.6" x14ac:dyDescent="0.4">
      <c r="B3" s="15" t="s">
        <v>65</v>
      </c>
      <c r="C3" s="15"/>
      <c r="D3" s="15"/>
      <c r="E3" s="15"/>
      <c r="F3" s="15"/>
      <c r="G3" s="15"/>
      <c r="H3" s="15"/>
      <c r="I3" s="15"/>
    </row>
    <row r="4" spans="2:9" x14ac:dyDescent="0.25">
      <c r="B4" s="9" t="s">
        <v>66</v>
      </c>
      <c r="C4" s="9">
        <f>MIN(fecha_venta)</f>
        <v>44652</v>
      </c>
      <c r="D4" s="10" t="s">
        <v>67</v>
      </c>
      <c r="E4" s="9">
        <f>MAX(fecha_venta)</f>
        <v>45015</v>
      </c>
      <c r="G4" s="11" t="s">
        <v>68</v>
      </c>
      <c r="I4" s="12">
        <f>COUNT(order_id)</f>
        <v>1000</v>
      </c>
    </row>
    <row r="6" spans="2:9" ht="25.05" customHeight="1" x14ac:dyDescent="0.25">
      <c r="B6" s="63" t="s">
        <v>69</v>
      </c>
      <c r="C6" s="64"/>
      <c r="D6" s="64" t="s">
        <v>70</v>
      </c>
      <c r="E6" s="64"/>
      <c r="F6" s="64" t="s">
        <v>71</v>
      </c>
      <c r="G6" s="64"/>
      <c r="H6" s="64" t="s">
        <v>72</v>
      </c>
      <c r="I6" s="65"/>
    </row>
    <row r="7" spans="2:9" ht="25.05" customHeight="1" x14ac:dyDescent="0.4">
      <c r="B7" s="66">
        <f>SUM(transaction_amount)</f>
        <v>275230</v>
      </c>
      <c r="C7" s="67"/>
      <c r="D7" s="68">
        <f>SUM(quantity)</f>
        <v>8162</v>
      </c>
      <c r="E7" s="68"/>
      <c r="F7" s="68">
        <f>COUNT(order_id)</f>
        <v>1000</v>
      </c>
      <c r="G7" s="68"/>
      <c r="H7" s="69">
        <f>B7/F7</f>
        <v>275.23</v>
      </c>
      <c r="I7" s="70"/>
    </row>
  </sheetData>
  <mergeCells count="8">
    <mergeCell ref="B6:C6"/>
    <mergeCell ref="D6:E6"/>
    <mergeCell ref="F6:G6"/>
    <mergeCell ref="H6:I6"/>
    <mergeCell ref="B7:C7"/>
    <mergeCell ref="D7:E7"/>
    <mergeCell ref="F7:G7"/>
    <mergeCell ref="H7:I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E4AE-A1A1-4C87-981D-8B477903C9B7}">
  <dimension ref="B2:J11"/>
  <sheetViews>
    <sheetView workbookViewId="0">
      <selection activeCell="A7" sqref="A7"/>
    </sheetView>
  </sheetViews>
  <sheetFormatPr baseColWidth="10" defaultRowHeight="13.2" x14ac:dyDescent="0.25"/>
  <cols>
    <col min="1" max="1" width="5.77734375" customWidth="1"/>
    <col min="2" max="2" width="18.33203125" customWidth="1"/>
    <col min="3" max="3" width="31.6640625" customWidth="1"/>
    <col min="4" max="4" width="22.88671875" customWidth="1"/>
    <col min="7" max="7" width="15.88671875" customWidth="1"/>
    <col min="9" max="9" width="11.77734375" bestFit="1" customWidth="1"/>
  </cols>
  <sheetData>
    <row r="2" spans="2:10" ht="13.8" thickBot="1" x14ac:dyDescent="0.3"/>
    <row r="3" spans="2:10" ht="13.8" thickBot="1" x14ac:dyDescent="0.3">
      <c r="B3" s="54" t="s">
        <v>32</v>
      </c>
      <c r="C3" s="54" t="s">
        <v>28</v>
      </c>
      <c r="D3" s="54" t="s">
        <v>29</v>
      </c>
      <c r="E3" s="54" t="s">
        <v>31</v>
      </c>
      <c r="F3" s="54" t="s">
        <v>34</v>
      </c>
      <c r="G3" s="54" t="s">
        <v>33</v>
      </c>
      <c r="H3" s="54"/>
      <c r="I3" s="59" t="s">
        <v>35</v>
      </c>
      <c r="J3" s="59" t="s">
        <v>36</v>
      </c>
    </row>
    <row r="4" spans="2:10" x14ac:dyDescent="0.25">
      <c r="B4" s="54" t="s">
        <v>10</v>
      </c>
      <c r="C4" s="55">
        <f t="shared" ref="C4:C10" si="0">AVERAGEIFS(transaction_amount,item_name,B4)</f>
        <v>155.82089552238807</v>
      </c>
      <c r="D4" s="55">
        <f t="shared" ref="D4:D10" si="1">AVERAGEIFS(quantity,item_name,B4)</f>
        <v>7.7910447761194028</v>
      </c>
      <c r="E4" s="57">
        <v>20</v>
      </c>
      <c r="F4" s="54">
        <f t="shared" ref="F4:F10" si="2">SUMIFS(quantity,item_name,B4)</f>
        <v>1044</v>
      </c>
      <c r="G4" s="56">
        <f t="shared" ref="G4:G10" si="3">SUMIFS(transaction_amount,item_name,B4)</f>
        <v>20880</v>
      </c>
      <c r="H4" s="54"/>
      <c r="I4" s="60">
        <f>_xlfn.VAR.S(item_price)</f>
        <v>222.65843343343334</v>
      </c>
      <c r="J4" s="61">
        <f>_xlfn.STDEV.S(item_price)</f>
        <v>14.921743645882453</v>
      </c>
    </row>
    <row r="5" spans="2:10" x14ac:dyDescent="0.25">
      <c r="B5" s="54" t="s">
        <v>27</v>
      </c>
      <c r="C5" s="55">
        <f t="shared" si="0"/>
        <v>338.13664596273293</v>
      </c>
      <c r="D5" s="55">
        <f t="shared" si="1"/>
        <v>8.4534161490683228</v>
      </c>
      <c r="E5" s="57">
        <v>40</v>
      </c>
      <c r="F5" s="54">
        <f t="shared" si="2"/>
        <v>1361</v>
      </c>
      <c r="G5" s="56">
        <f t="shared" si="3"/>
        <v>54440</v>
      </c>
      <c r="H5" s="54"/>
      <c r="I5" s="54"/>
      <c r="J5" s="54"/>
    </row>
    <row r="6" spans="2:10" x14ac:dyDescent="0.25">
      <c r="B6" s="54" t="s">
        <v>24</v>
      </c>
      <c r="C6" s="55">
        <f t="shared" si="0"/>
        <v>413.66906474820144</v>
      </c>
      <c r="D6" s="55">
        <f t="shared" si="1"/>
        <v>8.2733812949640289</v>
      </c>
      <c r="E6" s="57">
        <v>50</v>
      </c>
      <c r="F6" s="54">
        <f t="shared" si="2"/>
        <v>1150</v>
      </c>
      <c r="G6" s="56">
        <f t="shared" si="3"/>
        <v>57500</v>
      </c>
      <c r="H6" s="54"/>
      <c r="I6" s="54"/>
      <c r="J6" s="54"/>
    </row>
    <row r="7" spans="2:10" x14ac:dyDescent="0.25">
      <c r="B7" s="54" t="s">
        <v>21</v>
      </c>
      <c r="C7" s="55">
        <f t="shared" si="0"/>
        <v>163.46666666666667</v>
      </c>
      <c r="D7" s="55">
        <f t="shared" si="1"/>
        <v>8.1733333333333338</v>
      </c>
      <c r="E7" s="57">
        <v>20</v>
      </c>
      <c r="F7" s="54">
        <f t="shared" si="2"/>
        <v>1226</v>
      </c>
      <c r="G7" s="56">
        <f t="shared" si="3"/>
        <v>24520</v>
      </c>
      <c r="H7" s="54"/>
      <c r="I7" s="54"/>
      <c r="J7" s="54"/>
    </row>
    <row r="8" spans="2:10" x14ac:dyDescent="0.25">
      <c r="B8" s="54" t="s">
        <v>25</v>
      </c>
      <c r="C8" s="55">
        <f t="shared" si="0"/>
        <v>510.23255813953489</v>
      </c>
      <c r="D8" s="55">
        <f t="shared" si="1"/>
        <v>8.5038759689922472</v>
      </c>
      <c r="E8" s="57">
        <v>60</v>
      </c>
      <c r="F8" s="54">
        <f t="shared" si="2"/>
        <v>1097</v>
      </c>
      <c r="G8" s="56">
        <f t="shared" si="3"/>
        <v>65820</v>
      </c>
      <c r="H8" s="54"/>
      <c r="I8" s="54"/>
      <c r="J8" s="54"/>
    </row>
    <row r="9" spans="2:10" x14ac:dyDescent="0.25">
      <c r="B9" s="54" t="s">
        <v>17</v>
      </c>
      <c r="C9" s="55">
        <f t="shared" si="0"/>
        <v>208.8235294117647</v>
      </c>
      <c r="D9" s="55">
        <f t="shared" si="1"/>
        <v>8.3529411764705888</v>
      </c>
      <c r="E9" s="57">
        <v>25</v>
      </c>
      <c r="F9" s="54">
        <f t="shared" si="2"/>
        <v>1278</v>
      </c>
      <c r="G9" s="56">
        <f t="shared" si="3"/>
        <v>31950</v>
      </c>
      <c r="H9" s="54"/>
      <c r="I9" s="54"/>
      <c r="J9" s="54"/>
    </row>
    <row r="10" spans="2:10" x14ac:dyDescent="0.25">
      <c r="B10" s="54" t="s">
        <v>14</v>
      </c>
      <c r="C10" s="55">
        <f t="shared" si="0"/>
        <v>150.14925373134329</v>
      </c>
      <c r="D10" s="55">
        <f t="shared" si="1"/>
        <v>7.5074626865671643</v>
      </c>
      <c r="E10" s="58">
        <v>20</v>
      </c>
      <c r="F10" s="54">
        <f t="shared" si="2"/>
        <v>1006</v>
      </c>
      <c r="G10" s="56">
        <f t="shared" si="3"/>
        <v>20120</v>
      </c>
      <c r="H10" s="54"/>
      <c r="I10" s="54"/>
      <c r="J10" s="54"/>
    </row>
    <row r="11" spans="2:10" x14ac:dyDescent="0.25">
      <c r="B11" s="54"/>
      <c r="C11" s="54"/>
      <c r="D11" s="54"/>
      <c r="E11" s="54"/>
      <c r="F11" s="54"/>
      <c r="G11" s="54"/>
      <c r="H11" s="54"/>
      <c r="I11" s="54"/>
      <c r="J11" s="54"/>
    </row>
  </sheetData>
  <conditionalFormatting sqref="F4:F10">
    <cfRule type="top10" dxfId="2" priority="2" rank="3"/>
  </conditionalFormatting>
  <conditionalFormatting sqref="G4:G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{63B89897-08CF-4F8E-A8E5-18D90915F830}</x14:id>
        </ext>
      </extLst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B89897-08CF-4F8E-A8E5-18D90915F8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G4:G10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07B09-A607-4C58-A7E0-1A49350349AE}">
  <dimension ref="B3:M41"/>
  <sheetViews>
    <sheetView workbookViewId="0">
      <selection activeCell="C1" sqref="C1"/>
    </sheetView>
  </sheetViews>
  <sheetFormatPr baseColWidth="10" defaultRowHeight="13.2" x14ac:dyDescent="0.25"/>
  <cols>
    <col min="1" max="1" width="5.77734375" customWidth="1"/>
    <col min="2" max="2" width="18.77734375" customWidth="1"/>
    <col min="3" max="3" width="13" bestFit="1" customWidth="1"/>
    <col min="4" max="4" width="14" bestFit="1" customWidth="1"/>
    <col min="5" max="5" width="14.21875" customWidth="1"/>
    <col min="7" max="7" width="15" customWidth="1"/>
    <col min="8" max="12" width="12" bestFit="1" customWidth="1"/>
    <col min="13" max="13" width="13" bestFit="1" customWidth="1"/>
  </cols>
  <sheetData>
    <row r="3" spans="2:13" ht="22.8" x14ac:dyDescent="0.4">
      <c r="B3" s="41" t="s">
        <v>51</v>
      </c>
      <c r="C3" s="42"/>
      <c r="D3" s="42"/>
      <c r="E3" s="42"/>
      <c r="F3" s="42"/>
      <c r="G3" s="42"/>
      <c r="H3" s="42"/>
      <c r="I3" s="16"/>
      <c r="J3" s="16"/>
      <c r="K3" s="16"/>
      <c r="L3" s="16"/>
      <c r="M3" s="16"/>
    </row>
    <row r="5" spans="2:13" ht="15.6" x14ac:dyDescent="0.3">
      <c r="B5" s="39" t="s">
        <v>78</v>
      </c>
      <c r="C5" s="39"/>
      <c r="G5" s="39" t="s">
        <v>104</v>
      </c>
      <c r="H5" s="39"/>
    </row>
    <row r="7" spans="2:13" x14ac:dyDescent="0.25">
      <c r="B7" s="18" t="s">
        <v>73</v>
      </c>
      <c r="C7" s="18" t="s">
        <v>88</v>
      </c>
      <c r="D7" s="18" t="s">
        <v>89</v>
      </c>
      <c r="E7" s="18" t="s">
        <v>90</v>
      </c>
      <c r="G7" s="18" t="s">
        <v>105</v>
      </c>
      <c r="H7" s="18" t="s">
        <v>88</v>
      </c>
      <c r="I7" s="18" t="s">
        <v>89</v>
      </c>
    </row>
    <row r="8" spans="2:13" x14ac:dyDescent="0.25">
      <c r="B8" t="str" cm="1">
        <f t="array" ref="B8:B14">item_name_1</f>
        <v>Aalopuri</v>
      </c>
      <c r="C8" s="33">
        <f t="shared" ref="C8:C14" si="0">SUMIFS(transaction_amount,item_name,$B8)</f>
        <v>20880</v>
      </c>
      <c r="D8">
        <f t="shared" ref="D8:D14" si="1">SUMIFS(quantity,item_name,$B8)</f>
        <v>1044</v>
      </c>
      <c r="E8" s="34">
        <f>C8/$C$15</f>
        <v>7.5863822984413035E-2</v>
      </c>
      <c r="G8" s="35">
        <f>MIN(mes_venta)</f>
        <v>44652</v>
      </c>
      <c r="H8" s="33">
        <f t="shared" ref="H8:H19" si="2">SUMIFS(transaction_amount,mes_venta,$G8)</f>
        <v>17670</v>
      </c>
      <c r="I8">
        <f t="shared" ref="I8:I19" si="3">SUMIFS(quantity,mes_venta,$G8)</f>
        <v>503</v>
      </c>
    </row>
    <row r="9" spans="2:13" x14ac:dyDescent="0.25">
      <c r="B9" t="str">
        <v>Cold coffee</v>
      </c>
      <c r="C9" s="33">
        <f t="shared" si="0"/>
        <v>54440</v>
      </c>
      <c r="D9">
        <f t="shared" si="1"/>
        <v>1361</v>
      </c>
      <c r="E9" s="34">
        <f t="shared" ref="E9:E14" si="4">C9/$C$15</f>
        <v>0.19779820513752133</v>
      </c>
      <c r="G9" s="35">
        <f>EDATE(G8,1)</f>
        <v>44682</v>
      </c>
      <c r="H9" s="33">
        <f t="shared" si="2"/>
        <v>26570</v>
      </c>
      <c r="I9">
        <f t="shared" si="3"/>
        <v>826</v>
      </c>
    </row>
    <row r="10" spans="2:13" x14ac:dyDescent="0.25">
      <c r="B10" t="str">
        <v>Frankie</v>
      </c>
      <c r="C10" s="33">
        <f t="shared" si="0"/>
        <v>57500</v>
      </c>
      <c r="D10">
        <f t="shared" si="1"/>
        <v>1150</v>
      </c>
      <c r="E10" s="34">
        <f t="shared" si="4"/>
        <v>0.20891617919558186</v>
      </c>
      <c r="G10" s="35">
        <f t="shared" ref="G10:G19" si="5">EDATE(G9,1)</f>
        <v>44713</v>
      </c>
      <c r="H10" s="33">
        <f t="shared" si="2"/>
        <v>17335</v>
      </c>
      <c r="I10">
        <f t="shared" si="3"/>
        <v>482</v>
      </c>
    </row>
    <row r="11" spans="2:13" x14ac:dyDescent="0.25">
      <c r="B11" t="str">
        <v>Panipuri</v>
      </c>
      <c r="C11" s="33">
        <f t="shared" si="0"/>
        <v>24520</v>
      </c>
      <c r="D11">
        <f t="shared" si="1"/>
        <v>1226</v>
      </c>
      <c r="E11" s="34">
        <f t="shared" si="4"/>
        <v>8.9089125458707258E-2</v>
      </c>
      <c r="G11" s="35">
        <f t="shared" si="5"/>
        <v>44743</v>
      </c>
      <c r="H11" s="33">
        <f t="shared" si="2"/>
        <v>19490</v>
      </c>
      <c r="I11">
        <f t="shared" si="3"/>
        <v>598</v>
      </c>
    </row>
    <row r="12" spans="2:13" x14ac:dyDescent="0.25">
      <c r="B12" t="str">
        <v>Sandwich</v>
      </c>
      <c r="C12" s="33">
        <f t="shared" si="0"/>
        <v>65820</v>
      </c>
      <c r="D12">
        <f t="shared" si="1"/>
        <v>1097</v>
      </c>
      <c r="E12" s="34">
        <f t="shared" si="4"/>
        <v>0.23914544199396867</v>
      </c>
      <c r="G12" s="35">
        <f t="shared" si="5"/>
        <v>44774</v>
      </c>
      <c r="H12" s="33">
        <f t="shared" si="2"/>
        <v>22305</v>
      </c>
      <c r="I12">
        <f t="shared" si="3"/>
        <v>743</v>
      </c>
    </row>
    <row r="13" spans="2:13" x14ac:dyDescent="0.25">
      <c r="B13" t="str">
        <v>Sugarcane juice</v>
      </c>
      <c r="C13" s="33">
        <f t="shared" si="0"/>
        <v>31950</v>
      </c>
      <c r="D13">
        <f t="shared" si="1"/>
        <v>1278</v>
      </c>
      <c r="E13" s="34">
        <f t="shared" si="4"/>
        <v>0.11608472913563202</v>
      </c>
      <c r="G13" s="35">
        <f t="shared" si="5"/>
        <v>44805</v>
      </c>
      <c r="H13" s="33">
        <f t="shared" si="2"/>
        <v>18640</v>
      </c>
      <c r="I13">
        <f t="shared" si="3"/>
        <v>554</v>
      </c>
    </row>
    <row r="14" spans="2:13" x14ac:dyDescent="0.25">
      <c r="B14" t="str">
        <v>Vadapav</v>
      </c>
      <c r="C14" s="33">
        <f t="shared" si="0"/>
        <v>20120</v>
      </c>
      <c r="D14">
        <f t="shared" si="1"/>
        <v>1006</v>
      </c>
      <c r="E14" s="34">
        <f t="shared" si="4"/>
        <v>7.3102496094175781E-2</v>
      </c>
      <c r="G14" s="35">
        <f t="shared" si="5"/>
        <v>44835</v>
      </c>
      <c r="H14" s="33">
        <f t="shared" si="2"/>
        <v>27205</v>
      </c>
      <c r="I14">
        <f t="shared" si="3"/>
        <v>812</v>
      </c>
    </row>
    <row r="15" spans="2:13" x14ac:dyDescent="0.25">
      <c r="B15" s="36" t="s">
        <v>30</v>
      </c>
      <c r="C15" s="37">
        <f>SUM(C8:C14)</f>
        <v>275230</v>
      </c>
      <c r="D15" s="40">
        <f>SUM(D8:D14)</f>
        <v>8162</v>
      </c>
      <c r="E15" s="38">
        <f>SUM(E8:E14)</f>
        <v>1</v>
      </c>
      <c r="G15" s="35">
        <f t="shared" si="5"/>
        <v>44866</v>
      </c>
      <c r="H15" s="33">
        <f t="shared" si="2"/>
        <v>22900</v>
      </c>
      <c r="I15">
        <f t="shared" si="3"/>
        <v>682</v>
      </c>
    </row>
    <row r="16" spans="2:13" x14ac:dyDescent="0.25">
      <c r="G16" s="35">
        <f t="shared" si="5"/>
        <v>44896</v>
      </c>
      <c r="H16" s="33">
        <f t="shared" si="2"/>
        <v>23460</v>
      </c>
      <c r="I16">
        <f t="shared" si="3"/>
        <v>754</v>
      </c>
    </row>
    <row r="17" spans="2:13" ht="15.6" x14ac:dyDescent="0.3">
      <c r="B17" s="39" t="s">
        <v>92</v>
      </c>
      <c r="C17" s="39"/>
      <c r="G17" s="35">
        <f t="shared" si="5"/>
        <v>44927</v>
      </c>
      <c r="H17" s="33">
        <f t="shared" si="2"/>
        <v>28670</v>
      </c>
      <c r="I17">
        <f t="shared" si="3"/>
        <v>788</v>
      </c>
    </row>
    <row r="18" spans="2:13" x14ac:dyDescent="0.25">
      <c r="G18" s="35">
        <f>EDATE(G17,1)</f>
        <v>44958</v>
      </c>
      <c r="H18" s="33">
        <f t="shared" si="2"/>
        <v>25595</v>
      </c>
      <c r="I18">
        <f t="shared" si="3"/>
        <v>695</v>
      </c>
    </row>
    <row r="19" spans="2:13" x14ac:dyDescent="0.25">
      <c r="B19" s="18" t="s">
        <v>93</v>
      </c>
      <c r="C19" s="18" t="s">
        <v>88</v>
      </c>
      <c r="D19" s="18" t="s">
        <v>94</v>
      </c>
      <c r="E19" s="18" t="s">
        <v>90</v>
      </c>
      <c r="G19" s="35">
        <f t="shared" si="5"/>
        <v>44986</v>
      </c>
      <c r="H19" s="33">
        <f t="shared" si="2"/>
        <v>25390</v>
      </c>
      <c r="I19">
        <f t="shared" si="3"/>
        <v>725</v>
      </c>
    </row>
    <row r="20" spans="2:13" x14ac:dyDescent="0.25">
      <c r="B20" t="str" cm="1">
        <f t="array" ref="B20:B24">franja_horaria</f>
        <v>Morning</v>
      </c>
      <c r="C20" s="33">
        <f>SUMIFS(transaction_amount,time_of_sale,$B20)</f>
        <v>53730</v>
      </c>
      <c r="D20">
        <f>COUNTIF(time_of_sale,$B20)</f>
        <v>190</v>
      </c>
      <c r="E20" s="34">
        <f>C20/$C$25</f>
        <v>0.19521854449006285</v>
      </c>
    </row>
    <row r="21" spans="2:13" ht="15.6" x14ac:dyDescent="0.3">
      <c r="B21" t="str">
        <v>Afternoon</v>
      </c>
      <c r="C21" s="33">
        <f>SUMIFS(transaction_amount,time_of_sale,$B21)</f>
        <v>56345</v>
      </c>
      <c r="D21">
        <f>COUNTIF(time_of_sale,$B21)</f>
        <v>205</v>
      </c>
      <c r="E21" s="34">
        <f t="shared" ref="E21:E24" si="6">C21/$C$25</f>
        <v>0.20471968898739237</v>
      </c>
      <c r="G21" s="39" t="s">
        <v>106</v>
      </c>
      <c r="H21" s="39"/>
    </row>
    <row r="22" spans="2:13" x14ac:dyDescent="0.25">
      <c r="B22" t="str">
        <v>Evening</v>
      </c>
      <c r="C22" s="33">
        <f>SUMIFS(transaction_amount,time_of_sale,$B22)</f>
        <v>52355</v>
      </c>
      <c r="D22">
        <f>COUNTIF(time_of_sale,$B22)</f>
        <v>201</v>
      </c>
      <c r="E22" s="34">
        <f t="shared" si="6"/>
        <v>0.19022272281364677</v>
      </c>
    </row>
    <row r="23" spans="2:13" x14ac:dyDescent="0.25">
      <c r="B23" t="str">
        <v>Night</v>
      </c>
      <c r="C23" s="33">
        <f>SUMIFS(transaction_amount,time_of_sale,$B23)</f>
        <v>62075</v>
      </c>
      <c r="D23">
        <f>COUNTIF(time_of_sale,$B23)</f>
        <v>205</v>
      </c>
      <c r="E23" s="34">
        <f t="shared" si="6"/>
        <v>0.22553864040983904</v>
      </c>
      <c r="G23" s="18" t="s">
        <v>73</v>
      </c>
      <c r="H23" s="18" t="s">
        <v>23</v>
      </c>
      <c r="I23" s="18" t="s">
        <v>16</v>
      </c>
      <c r="J23" s="18" t="s">
        <v>20</v>
      </c>
      <c r="K23" s="18" t="s">
        <v>13</v>
      </c>
      <c r="L23" s="18" t="s">
        <v>26</v>
      </c>
      <c r="M23" s="18" t="s">
        <v>107</v>
      </c>
    </row>
    <row r="24" spans="2:13" x14ac:dyDescent="0.25">
      <c r="B24" t="str">
        <v>Midnight</v>
      </c>
      <c r="C24" s="33">
        <f>SUMIFS(transaction_amount,time_of_sale,$B24)</f>
        <v>50725</v>
      </c>
      <c r="D24">
        <f>COUNTIF(time_of_sale,$B24)</f>
        <v>199</v>
      </c>
      <c r="E24" s="34">
        <f t="shared" si="6"/>
        <v>0.18430040329905897</v>
      </c>
      <c r="G24" t="str" cm="1">
        <f t="array" ref="G24:G30">item_name_1</f>
        <v>Aalopuri</v>
      </c>
      <c r="H24" s="33">
        <f t="shared" ref="H24:L30" si="7">SUMIFS(transaction_amount,item_name,$G24,time_of_sale,H$23)</f>
        <v>4300</v>
      </c>
      <c r="I24" s="33">
        <f t="shared" si="7"/>
        <v>4520</v>
      </c>
      <c r="J24" s="33">
        <f t="shared" si="7"/>
        <v>2720</v>
      </c>
      <c r="K24" s="33">
        <f t="shared" si="7"/>
        <v>4880</v>
      </c>
      <c r="L24" s="33">
        <f t="shared" si="7"/>
        <v>4460</v>
      </c>
      <c r="M24" s="33">
        <f>SUM(H24:L24)</f>
        <v>20880</v>
      </c>
    </row>
    <row r="25" spans="2:13" x14ac:dyDescent="0.25">
      <c r="B25" s="36" t="s">
        <v>30</v>
      </c>
      <c r="C25" s="37">
        <f>SUM(C20:C24)</f>
        <v>275230</v>
      </c>
      <c r="D25" s="40">
        <f>SUM(D20:D24)</f>
        <v>1000</v>
      </c>
      <c r="E25" s="38">
        <f>SUM(E20:E24)</f>
        <v>1</v>
      </c>
      <c r="G25" t="str">
        <v>Cold coffee</v>
      </c>
      <c r="H25" s="33">
        <f t="shared" si="7"/>
        <v>11480</v>
      </c>
      <c r="I25" s="33">
        <f t="shared" si="7"/>
        <v>13480</v>
      </c>
      <c r="J25" s="33">
        <f t="shared" si="7"/>
        <v>9400</v>
      </c>
      <c r="K25" s="33">
        <f t="shared" si="7"/>
        <v>11960</v>
      </c>
      <c r="L25" s="33">
        <f t="shared" si="7"/>
        <v>8120</v>
      </c>
      <c r="M25" s="33">
        <f t="shared" ref="M25:M30" si="8">SUM(H25:L25)</f>
        <v>54440</v>
      </c>
    </row>
    <row r="26" spans="2:13" x14ac:dyDescent="0.25">
      <c r="G26" t="str">
        <v>Frankie</v>
      </c>
      <c r="H26" s="33">
        <f t="shared" si="7"/>
        <v>10200</v>
      </c>
      <c r="I26" s="33">
        <f t="shared" si="7"/>
        <v>11900</v>
      </c>
      <c r="J26" s="33">
        <f t="shared" si="7"/>
        <v>12000</v>
      </c>
      <c r="K26" s="33">
        <f t="shared" si="7"/>
        <v>13500</v>
      </c>
      <c r="L26" s="33">
        <f t="shared" si="7"/>
        <v>9900</v>
      </c>
      <c r="M26" s="33">
        <f t="shared" si="8"/>
        <v>57500</v>
      </c>
    </row>
    <row r="27" spans="2:13" ht="15.6" x14ac:dyDescent="0.3">
      <c r="B27" s="39" t="s">
        <v>95</v>
      </c>
      <c r="C27" s="39"/>
      <c r="G27" t="str">
        <v>Panipuri</v>
      </c>
      <c r="H27" s="33">
        <f t="shared" si="7"/>
        <v>4660</v>
      </c>
      <c r="I27" s="33">
        <f t="shared" si="7"/>
        <v>4600</v>
      </c>
      <c r="J27" s="33">
        <f t="shared" si="7"/>
        <v>4820</v>
      </c>
      <c r="K27" s="33">
        <f t="shared" si="7"/>
        <v>4880</v>
      </c>
      <c r="L27" s="33">
        <f t="shared" si="7"/>
        <v>5560</v>
      </c>
      <c r="M27" s="33">
        <f t="shared" si="8"/>
        <v>24520</v>
      </c>
    </row>
    <row r="28" spans="2:13" x14ac:dyDescent="0.25">
      <c r="G28" t="str">
        <v>Sandwich</v>
      </c>
      <c r="H28" s="33">
        <f t="shared" si="7"/>
        <v>14040</v>
      </c>
      <c r="I28" s="33">
        <f t="shared" si="7"/>
        <v>9840</v>
      </c>
      <c r="J28" s="33">
        <f t="shared" si="7"/>
        <v>12360</v>
      </c>
      <c r="K28" s="33">
        <f t="shared" si="7"/>
        <v>17520</v>
      </c>
      <c r="L28" s="33">
        <f t="shared" si="7"/>
        <v>12060</v>
      </c>
      <c r="M28" s="33">
        <f t="shared" si="8"/>
        <v>65820</v>
      </c>
    </row>
    <row r="29" spans="2:13" x14ac:dyDescent="0.25">
      <c r="B29" s="18" t="s">
        <v>96</v>
      </c>
      <c r="C29" s="18" t="s">
        <v>94</v>
      </c>
      <c r="D29" s="18" t="s">
        <v>88</v>
      </c>
      <c r="E29" s="18" t="s">
        <v>97</v>
      </c>
      <c r="G29" t="str">
        <v>Sugarcane juice</v>
      </c>
      <c r="H29" s="33">
        <f t="shared" si="7"/>
        <v>5150</v>
      </c>
      <c r="I29" s="33">
        <f t="shared" si="7"/>
        <v>8125</v>
      </c>
      <c r="J29" s="33">
        <f t="shared" si="7"/>
        <v>7075</v>
      </c>
      <c r="K29" s="33">
        <f t="shared" si="7"/>
        <v>5675</v>
      </c>
      <c r="L29" s="33">
        <f t="shared" si="7"/>
        <v>5925</v>
      </c>
      <c r="M29" s="33">
        <f t="shared" si="8"/>
        <v>31950</v>
      </c>
    </row>
    <row r="30" spans="2:13" x14ac:dyDescent="0.25">
      <c r="B30" t="str" cm="1">
        <f t="array" ref="B30:B32">metodo_pago</f>
        <v>Cash</v>
      </c>
      <c r="C30">
        <f>COUNTIF(método_de_pago,B30)</f>
        <v>476</v>
      </c>
      <c r="D30" s="33">
        <f>SUMIFS(transaction_amount,método_de_pago,$B30)</f>
        <v>132840</v>
      </c>
      <c r="E30" s="34">
        <f>C30/$C$33</f>
        <v>0.47599999999999998</v>
      </c>
      <c r="G30" t="str">
        <v>Vadapav</v>
      </c>
      <c r="H30" s="33">
        <f t="shared" si="7"/>
        <v>3900</v>
      </c>
      <c r="I30" s="33">
        <f t="shared" si="7"/>
        <v>3880</v>
      </c>
      <c r="J30" s="33">
        <f t="shared" si="7"/>
        <v>3980</v>
      </c>
      <c r="K30" s="33">
        <f t="shared" si="7"/>
        <v>3660</v>
      </c>
      <c r="L30" s="33">
        <f t="shared" si="7"/>
        <v>4700</v>
      </c>
      <c r="M30" s="33">
        <f t="shared" si="8"/>
        <v>20120</v>
      </c>
    </row>
    <row r="31" spans="2:13" x14ac:dyDescent="0.25">
      <c r="B31" t="str">
        <v>Online</v>
      </c>
      <c r="C31">
        <f>COUNTIF(método_de_pago,B31)</f>
        <v>417</v>
      </c>
      <c r="D31" s="33">
        <f>SUMIFS(transaction_amount,método_de_pago,$B31)</f>
        <v>110595</v>
      </c>
      <c r="E31" s="34">
        <f t="shared" ref="E31:E32" si="9">C31/$C$33</f>
        <v>0.41699999999999998</v>
      </c>
      <c r="G31" t="s">
        <v>107</v>
      </c>
      <c r="H31" s="33">
        <f>SUM(H24:H30)</f>
        <v>53730</v>
      </c>
      <c r="I31" s="33">
        <f t="shared" ref="I31:L31" si="10">SUM(I24:I30)</f>
        <v>56345</v>
      </c>
      <c r="J31" s="33">
        <f t="shared" si="10"/>
        <v>52355</v>
      </c>
      <c r="K31" s="33">
        <f t="shared" si="10"/>
        <v>62075</v>
      </c>
      <c r="L31" s="33">
        <f t="shared" si="10"/>
        <v>50725</v>
      </c>
      <c r="M31" s="33">
        <f>SUM(H31:L31)</f>
        <v>275230</v>
      </c>
    </row>
    <row r="32" spans="2:13" x14ac:dyDescent="0.25">
      <c r="B32" t="str">
        <v>Sin registrar</v>
      </c>
      <c r="C32">
        <f>COUNTIF(método_de_pago,B32)</f>
        <v>107</v>
      </c>
      <c r="D32" s="33">
        <f>SUMIFS(transaction_amount,método_de_pago,$B32)</f>
        <v>31795</v>
      </c>
      <c r="E32" s="34">
        <f t="shared" si="9"/>
        <v>0.107</v>
      </c>
    </row>
    <row r="33" spans="2:5" x14ac:dyDescent="0.25">
      <c r="B33" s="36" t="s">
        <v>30</v>
      </c>
      <c r="C33" s="37">
        <f>SUM(C30:C32)</f>
        <v>1000</v>
      </c>
      <c r="D33" s="37">
        <f>SUM(D30:D32)</f>
        <v>275230</v>
      </c>
      <c r="E33" s="38">
        <f>SUM(E30:E32)</f>
        <v>1</v>
      </c>
    </row>
    <row r="35" spans="2:5" ht="15.6" x14ac:dyDescent="0.3">
      <c r="B35" s="39" t="s">
        <v>100</v>
      </c>
      <c r="C35" s="39"/>
    </row>
    <row r="37" spans="2:5" x14ac:dyDescent="0.25">
      <c r="B37" s="18" t="s">
        <v>101</v>
      </c>
      <c r="C37" s="18" t="s">
        <v>94</v>
      </c>
      <c r="D37" s="18" t="s">
        <v>88</v>
      </c>
      <c r="E37" s="18" t="s">
        <v>97</v>
      </c>
    </row>
    <row r="38" spans="2:5" x14ac:dyDescent="0.25">
      <c r="B38" t="str" cm="1">
        <f t="array" ref="B38:B40">tamaño_pedido_1</f>
        <v>Pequeño</v>
      </c>
      <c r="C38">
        <f>COUNTIF(tamaño_pedido,B38)</f>
        <v>317</v>
      </c>
      <c r="D38" s="33">
        <f>SUMIFS(transaction_amount,tamaño_pedido,$B38)</f>
        <v>29185</v>
      </c>
      <c r="E38" s="34">
        <f>C38/$C$41</f>
        <v>0.317</v>
      </c>
    </row>
    <row r="39" spans="2:5" x14ac:dyDescent="0.25">
      <c r="B39" t="str">
        <v>Mediano</v>
      </c>
      <c r="C39">
        <f>COUNTIF(tamaño_pedido,B39)</f>
        <v>340</v>
      </c>
      <c r="D39" s="33">
        <f>SUMIFS(transaction_amount,tamaño_pedido,$B39)</f>
        <v>95415</v>
      </c>
      <c r="E39" s="34">
        <f t="shared" ref="E39:E40" si="11">C39/$C$41</f>
        <v>0.34</v>
      </c>
    </row>
    <row r="40" spans="2:5" x14ac:dyDescent="0.25">
      <c r="B40" t="str">
        <v>Grande</v>
      </c>
      <c r="C40">
        <f>COUNTIF(tamaño_pedido,B40)</f>
        <v>343</v>
      </c>
      <c r="D40" s="33">
        <f>SUMIFS(transaction_amount,tamaño_pedido,$B40)</f>
        <v>150630</v>
      </c>
      <c r="E40" s="34">
        <f t="shared" si="11"/>
        <v>0.34300000000000003</v>
      </c>
    </row>
    <row r="41" spans="2:5" x14ac:dyDescent="0.25">
      <c r="B41" s="36" t="s">
        <v>30</v>
      </c>
      <c r="C41" s="37">
        <f>SUM(C38:C40)</f>
        <v>1000</v>
      </c>
      <c r="D41" s="37">
        <f>SUM(D38:D40)</f>
        <v>275230</v>
      </c>
      <c r="E41" s="38">
        <f>SUM(E38:E40)</f>
        <v>1</v>
      </c>
    </row>
  </sheetData>
  <conditionalFormatting sqref="E8:E14">
    <cfRule type="dataBar" priority="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{AA1653FA-A407-461F-9B46-946CEA045E39}</x14:id>
        </ext>
      </extLst>
    </cfRule>
  </conditionalFormatting>
  <conditionalFormatting sqref="E20:E24">
    <cfRule type="dataBar" priority="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{7B517FC5-BCA2-4C2E-B479-36738F2D011E}</x14:id>
        </ext>
      </extLst>
    </cfRule>
  </conditionalFormatting>
  <conditionalFormatting sqref="E30:E32">
    <cfRule type="dataBar" priority="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{A69CCC62-03FE-4A38-92A3-44C0971D9D90}</x14:id>
        </ext>
      </extLst>
    </cfRule>
  </conditionalFormatting>
  <conditionalFormatting sqref="E38:E40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{4E03F97C-8BB8-4063-BE4E-54D99307E4AA}</x14:id>
        </ext>
      </extLst>
    </cfRule>
  </conditionalFormatting>
  <conditionalFormatting sqref="H24:L31 M31">
    <cfRule type="colorScale" priority="2">
      <colorScale>
        <cfvo type="min"/>
        <cfvo type="percentile" val="50"/>
        <cfvo type="max"/>
        <color theme="5" tint="0.79998168889431442"/>
        <color rgb="FFFCFCFF"/>
        <color theme="5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1653FA-A407-461F-9B46-946CEA045E3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negativeBorderColor rgb="FFFF0000"/>
              <x14:axisColor rgb="FF000000"/>
            </x14:dataBar>
          </x14:cfRule>
          <xm:sqref>E8:E14</xm:sqref>
        </x14:conditionalFormatting>
        <x14:conditionalFormatting xmlns:xm="http://schemas.microsoft.com/office/excel/2006/main">
          <x14:cfRule type="dataBar" id="{7B517FC5-BCA2-4C2E-B479-36738F2D011E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negativeBorderColor rgb="FFFF0000"/>
              <x14:axisColor rgb="FF000000"/>
            </x14:dataBar>
          </x14:cfRule>
          <xm:sqref>E20:E24</xm:sqref>
        </x14:conditionalFormatting>
        <x14:conditionalFormatting xmlns:xm="http://schemas.microsoft.com/office/excel/2006/main">
          <x14:cfRule type="dataBar" id="{A69CCC62-03FE-4A38-92A3-44C0971D9D9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negativeBorderColor rgb="FFFF0000"/>
              <x14:axisColor rgb="FF000000"/>
            </x14:dataBar>
          </x14:cfRule>
          <xm:sqref>E30:E32</xm:sqref>
        </x14:conditionalFormatting>
        <x14:conditionalFormatting xmlns:xm="http://schemas.microsoft.com/office/excel/2006/main">
          <x14:cfRule type="dataBar" id="{4E03F97C-8BB8-4063-BE4E-54D99307E4A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negativeBorderColor rgb="FFFF0000"/>
              <x14:axisColor rgb="FF000000"/>
            </x14:dataBar>
          </x14:cfRule>
          <xm:sqref>E38:E40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FF123-BB07-4410-8B70-DD82C7558E67}">
  <dimension ref="B3:E12"/>
  <sheetViews>
    <sheetView workbookViewId="0">
      <selection activeCell="C20" sqref="C20"/>
    </sheetView>
  </sheetViews>
  <sheetFormatPr baseColWidth="10" defaultRowHeight="13.2" x14ac:dyDescent="0.25"/>
  <cols>
    <col min="1" max="1" width="5.77734375" customWidth="1"/>
    <col min="2" max="2" width="17.109375" bestFit="1" customWidth="1"/>
    <col min="3" max="3" width="22.109375" bestFit="1" customWidth="1"/>
    <col min="4" max="4" width="8.33203125" bestFit="1" customWidth="1"/>
    <col min="5" max="6" width="12.33203125" bestFit="1" customWidth="1"/>
  </cols>
  <sheetData>
    <row r="3" spans="2:5" x14ac:dyDescent="0.25">
      <c r="B3" s="43" t="s">
        <v>40</v>
      </c>
      <c r="C3" s="44" t="s">
        <v>39</v>
      </c>
      <c r="D3" s="30"/>
      <c r="E3" s="31"/>
    </row>
    <row r="4" spans="2:5" x14ac:dyDescent="0.25">
      <c r="B4" s="45" t="s">
        <v>37</v>
      </c>
      <c r="C4" s="46" t="s">
        <v>41</v>
      </c>
      <c r="D4" s="46" t="s">
        <v>42</v>
      </c>
      <c r="E4" s="47" t="s">
        <v>38</v>
      </c>
    </row>
    <row r="5" spans="2:5" x14ac:dyDescent="0.25">
      <c r="B5" s="48" t="s">
        <v>10</v>
      </c>
      <c r="C5" s="49">
        <v>0.13789049378569029</v>
      </c>
      <c r="D5" s="49">
        <v>0.10099637681159421</v>
      </c>
      <c r="E5" s="50">
        <v>0.12790982602303358</v>
      </c>
    </row>
    <row r="6" spans="2:5" x14ac:dyDescent="0.25">
      <c r="B6" s="48" t="s">
        <v>27</v>
      </c>
      <c r="C6" s="49">
        <v>0.1635875041988579</v>
      </c>
      <c r="D6" s="49">
        <v>0.17527173913043478</v>
      </c>
      <c r="E6" s="50">
        <v>0.166748345993629</v>
      </c>
    </row>
    <row r="7" spans="2:5" x14ac:dyDescent="0.25">
      <c r="B7" s="48" t="s">
        <v>24</v>
      </c>
      <c r="C7" s="49">
        <v>0.1232784682566342</v>
      </c>
      <c r="D7" s="49">
        <v>0.18840579710144928</v>
      </c>
      <c r="E7" s="50">
        <v>0.14089683901004657</v>
      </c>
    </row>
    <row r="8" spans="2:5" x14ac:dyDescent="0.25">
      <c r="B8" s="48" t="s">
        <v>21</v>
      </c>
      <c r="C8" s="49">
        <v>0.15938864628820962</v>
      </c>
      <c r="D8" s="49">
        <v>0.12545289855072464</v>
      </c>
      <c r="E8" s="50">
        <v>0.15020828228375399</v>
      </c>
    </row>
    <row r="9" spans="2:5" x14ac:dyDescent="0.25">
      <c r="B9" s="48" t="s">
        <v>25</v>
      </c>
      <c r="C9" s="49">
        <v>0.12697346321800471</v>
      </c>
      <c r="D9" s="49">
        <v>0.15443840579710144</v>
      </c>
      <c r="E9" s="50">
        <v>0.13440333251654007</v>
      </c>
    </row>
    <row r="10" spans="2:5" x14ac:dyDescent="0.25">
      <c r="B10" s="48" t="s">
        <v>17</v>
      </c>
      <c r="C10" s="49">
        <v>0.15972455492106147</v>
      </c>
      <c r="D10" s="49">
        <v>0.14809782608695651</v>
      </c>
      <c r="E10" s="50">
        <v>0.15657926978681697</v>
      </c>
    </row>
    <row r="11" spans="2:5" x14ac:dyDescent="0.25">
      <c r="B11" s="48" t="s">
        <v>14</v>
      </c>
      <c r="C11" s="49">
        <v>0.12915686933154183</v>
      </c>
      <c r="D11" s="49">
        <v>0.10733695652173914</v>
      </c>
      <c r="E11" s="50">
        <v>0.12325410438617986</v>
      </c>
    </row>
    <row r="12" spans="2:5" x14ac:dyDescent="0.25">
      <c r="B12" s="51" t="s">
        <v>38</v>
      </c>
      <c r="C12" s="52">
        <v>1</v>
      </c>
      <c r="D12" s="52">
        <v>1</v>
      </c>
      <c r="E12" s="5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1003"/>
  <sheetViews>
    <sheetView zoomScaleNormal="100" workbookViewId="0">
      <selection activeCell="A3" sqref="A3:XFD3"/>
    </sheetView>
  </sheetViews>
  <sheetFormatPr baseColWidth="10" defaultColWidth="11.5546875" defaultRowHeight="13.2" x14ac:dyDescent="0.25"/>
  <cols>
    <col min="1" max="1" width="5.77734375" customWidth="1"/>
    <col min="2" max="2" width="10.21875" customWidth="1"/>
    <col min="3" max="3" width="14.88671875" customWidth="1"/>
    <col min="4" max="4" width="14.5546875" customWidth="1"/>
    <col min="5" max="5" width="11.33203125" customWidth="1"/>
    <col min="6" max="6" width="11.88671875" customWidth="1"/>
    <col min="7" max="7" width="10" customWidth="1"/>
    <col min="8" max="8" width="20.33203125" customWidth="1"/>
    <col min="9" max="9" width="17.5546875" customWidth="1"/>
    <col min="10" max="10" width="13.33203125" customWidth="1"/>
    <col min="11" max="11" width="13.6640625" customWidth="1"/>
    <col min="12" max="12" width="16.44140625" customWidth="1"/>
    <col min="13" max="13" width="12.21875" customWidth="1"/>
    <col min="14" max="14" width="17" customWidth="1"/>
    <col min="15" max="15" width="15.77734375" customWidth="1"/>
  </cols>
  <sheetData>
    <row r="3" spans="2:15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74</v>
      </c>
      <c r="M3" t="s">
        <v>75</v>
      </c>
      <c r="N3" t="s">
        <v>76</v>
      </c>
      <c r="O3" t="s">
        <v>77</v>
      </c>
    </row>
    <row r="4" spans="2:15" x14ac:dyDescent="0.25">
      <c r="B4">
        <v>1</v>
      </c>
      <c r="C4" s="1">
        <v>44745</v>
      </c>
      <c r="D4" t="s">
        <v>10</v>
      </c>
      <c r="E4" t="s">
        <v>11</v>
      </c>
      <c r="F4">
        <v>20</v>
      </c>
      <c r="G4">
        <v>13</v>
      </c>
      <c r="H4">
        <v>260</v>
      </c>
      <c r="J4" t="s">
        <v>12</v>
      </c>
      <c r="K4" t="s">
        <v>13</v>
      </c>
      <c r="L4">
        <f>YEAR(C4)</f>
        <v>2022</v>
      </c>
      <c r="M4" s="13">
        <f>DATE(YEAR(C4),MONTH(C4),1)</f>
        <v>44743</v>
      </c>
      <c r="N4" t="str">
        <f>IF(I4 = "", "Sin registrar",I4)</f>
        <v>Sin registrar</v>
      </c>
      <c r="O4" t="str">
        <f>IF(Tabla22[[#This Row],[quantity]]&gt;=umbral_grande, "Grande", IF(Tabla22[[#This Row],[quantity]]&gt;=umbral_mediano,"Mediano", "Pequeño"))</f>
        <v>Grande</v>
      </c>
    </row>
    <row r="5" spans="2:15" x14ac:dyDescent="0.25">
      <c r="B5">
        <v>2</v>
      </c>
      <c r="C5" s="1">
        <v>44796</v>
      </c>
      <c r="D5" t="s">
        <v>14</v>
      </c>
      <c r="E5" t="s">
        <v>11</v>
      </c>
      <c r="F5">
        <v>20</v>
      </c>
      <c r="G5">
        <v>15</v>
      </c>
      <c r="H5">
        <v>300</v>
      </c>
      <c r="I5" t="s">
        <v>15</v>
      </c>
      <c r="J5" t="s">
        <v>12</v>
      </c>
      <c r="K5" t="s">
        <v>16</v>
      </c>
      <c r="L5">
        <f t="shared" ref="L5:L68" si="0">YEAR(C5)</f>
        <v>2022</v>
      </c>
      <c r="M5" s="13">
        <f t="shared" ref="M5:M68" si="1">DATE(YEAR(C5),MONTH(C5),1)</f>
        <v>44774</v>
      </c>
      <c r="N5" t="str">
        <f t="shared" ref="N5:N68" si="2">IF(I5 = "", "Sin registrar",I5)</f>
        <v>Cash</v>
      </c>
      <c r="O5" t="str">
        <f>IF(Tabla22[[#This Row],[quantity]]&gt;=umbral_grande, "Grande", IF(Tabla22[[#This Row],[quantity]]&gt;=umbral_mediano,"Mediano", "Pequeño"))</f>
        <v>Grande</v>
      </c>
    </row>
    <row r="6" spans="2:15" x14ac:dyDescent="0.25">
      <c r="B6">
        <v>3</v>
      </c>
      <c r="C6" s="1">
        <v>44885</v>
      </c>
      <c r="D6" t="s">
        <v>14</v>
      </c>
      <c r="E6" t="s">
        <v>11</v>
      </c>
      <c r="F6">
        <v>20</v>
      </c>
      <c r="G6">
        <v>1</v>
      </c>
      <c r="H6">
        <v>20</v>
      </c>
      <c r="I6" t="s">
        <v>15</v>
      </c>
      <c r="J6" t="s">
        <v>12</v>
      </c>
      <c r="K6" t="s">
        <v>16</v>
      </c>
      <c r="L6">
        <f t="shared" si="0"/>
        <v>2022</v>
      </c>
      <c r="M6" s="13">
        <f t="shared" si="1"/>
        <v>44866</v>
      </c>
      <c r="N6" t="str">
        <f t="shared" si="2"/>
        <v>Cash</v>
      </c>
      <c r="O6" t="str">
        <f>IF(Tabla22[[#This Row],[quantity]]&gt;=umbral_grande, "Grande", IF(Tabla22[[#This Row],[quantity]]&gt;=umbral_mediano,"Mediano", "Pequeño"))</f>
        <v>Pequeño</v>
      </c>
    </row>
    <row r="7" spans="2:15" x14ac:dyDescent="0.25">
      <c r="B7">
        <v>4</v>
      </c>
      <c r="C7" s="1">
        <v>44960</v>
      </c>
      <c r="D7" t="s">
        <v>17</v>
      </c>
      <c r="E7" t="s">
        <v>18</v>
      </c>
      <c r="F7">
        <v>25</v>
      </c>
      <c r="G7">
        <v>6</v>
      </c>
      <c r="H7">
        <v>150</v>
      </c>
      <c r="I7" t="s">
        <v>19</v>
      </c>
      <c r="J7" t="s">
        <v>12</v>
      </c>
      <c r="K7" t="s">
        <v>13</v>
      </c>
      <c r="L7">
        <f t="shared" si="0"/>
        <v>2023</v>
      </c>
      <c r="M7" s="13">
        <f t="shared" si="1"/>
        <v>44958</v>
      </c>
      <c r="N7" t="str">
        <f t="shared" si="2"/>
        <v>Online</v>
      </c>
      <c r="O7" t="str">
        <f>IF(Tabla22[[#This Row],[quantity]]&gt;=umbral_grande, "Grande", IF(Tabla22[[#This Row],[quantity]]&gt;=umbral_mediano,"Mediano", "Pequeño"))</f>
        <v>Mediano</v>
      </c>
    </row>
    <row r="8" spans="2:15" x14ac:dyDescent="0.25">
      <c r="B8">
        <v>5</v>
      </c>
      <c r="C8" s="1">
        <v>44836</v>
      </c>
      <c r="D8" t="s">
        <v>17</v>
      </c>
      <c r="E8" t="s">
        <v>18</v>
      </c>
      <c r="F8">
        <v>25</v>
      </c>
      <c r="G8">
        <v>8</v>
      </c>
      <c r="H8">
        <v>200</v>
      </c>
      <c r="I8" t="s">
        <v>19</v>
      </c>
      <c r="J8" t="s">
        <v>12</v>
      </c>
      <c r="K8" t="s">
        <v>20</v>
      </c>
      <c r="L8">
        <f t="shared" si="0"/>
        <v>2022</v>
      </c>
      <c r="M8" s="13">
        <f t="shared" si="1"/>
        <v>44835</v>
      </c>
      <c r="N8" t="str">
        <f t="shared" si="2"/>
        <v>Online</v>
      </c>
      <c r="O8" t="str">
        <f>IF(Tabla22[[#This Row],[quantity]]&gt;=umbral_grande, "Grande", IF(Tabla22[[#This Row],[quantity]]&gt;=umbral_mediano,"Mediano", "Pequeño"))</f>
        <v>Mediano</v>
      </c>
    </row>
    <row r="9" spans="2:15" x14ac:dyDescent="0.25">
      <c r="B9">
        <v>6</v>
      </c>
      <c r="C9" s="1">
        <v>44879</v>
      </c>
      <c r="D9" t="s">
        <v>14</v>
      </c>
      <c r="E9" t="s">
        <v>11</v>
      </c>
      <c r="F9">
        <v>20</v>
      </c>
      <c r="G9">
        <v>10</v>
      </c>
      <c r="H9">
        <v>200</v>
      </c>
      <c r="I9" t="s">
        <v>15</v>
      </c>
      <c r="J9" t="s">
        <v>12</v>
      </c>
      <c r="K9" t="s">
        <v>20</v>
      </c>
      <c r="L9">
        <f t="shared" si="0"/>
        <v>2022</v>
      </c>
      <c r="M9" s="13">
        <f t="shared" si="1"/>
        <v>44866</v>
      </c>
      <c r="N9" t="str">
        <f t="shared" si="2"/>
        <v>Cash</v>
      </c>
      <c r="O9" t="str">
        <f>IF(Tabla22[[#This Row],[quantity]]&gt;=umbral_grande, "Grande", IF(Tabla22[[#This Row],[quantity]]&gt;=umbral_mediano,"Mediano", "Pequeño"))</f>
        <v>Mediano</v>
      </c>
    </row>
    <row r="10" spans="2:15" x14ac:dyDescent="0.25">
      <c r="B10">
        <v>7</v>
      </c>
      <c r="C10" s="1">
        <v>44684</v>
      </c>
      <c r="D10" t="s">
        <v>17</v>
      </c>
      <c r="E10" t="s">
        <v>18</v>
      </c>
      <c r="F10">
        <v>25</v>
      </c>
      <c r="G10">
        <v>9</v>
      </c>
      <c r="H10">
        <v>225</v>
      </c>
      <c r="I10" t="s">
        <v>15</v>
      </c>
      <c r="J10" t="s">
        <v>12</v>
      </c>
      <c r="K10" t="s">
        <v>20</v>
      </c>
      <c r="L10">
        <f t="shared" si="0"/>
        <v>2022</v>
      </c>
      <c r="M10" s="13">
        <f t="shared" si="1"/>
        <v>44682</v>
      </c>
      <c r="N10" t="str">
        <f t="shared" si="2"/>
        <v>Cash</v>
      </c>
      <c r="O10" t="str">
        <f>IF(Tabla22[[#This Row],[quantity]]&gt;=umbral_grande, "Grande", IF(Tabla22[[#This Row],[quantity]]&gt;=umbral_mediano,"Mediano", "Pequeño"))</f>
        <v>Mediano</v>
      </c>
    </row>
    <row r="11" spans="2:15" x14ac:dyDescent="0.25">
      <c r="B11">
        <v>8</v>
      </c>
      <c r="C11" s="1">
        <v>44917</v>
      </c>
      <c r="D11" t="s">
        <v>21</v>
      </c>
      <c r="E11" t="s">
        <v>11</v>
      </c>
      <c r="F11">
        <v>20</v>
      </c>
      <c r="G11">
        <v>14</v>
      </c>
      <c r="H11">
        <v>280</v>
      </c>
      <c r="I11" t="s">
        <v>19</v>
      </c>
      <c r="J11" t="s">
        <v>12</v>
      </c>
      <c r="K11" t="s">
        <v>13</v>
      </c>
      <c r="L11">
        <f t="shared" si="0"/>
        <v>2022</v>
      </c>
      <c r="M11" s="13">
        <f t="shared" si="1"/>
        <v>44896</v>
      </c>
      <c r="N11" t="str">
        <f t="shared" si="2"/>
        <v>Online</v>
      </c>
      <c r="O11" t="str">
        <f>IF(Tabla22[[#This Row],[quantity]]&gt;=umbral_grande, "Grande", IF(Tabla22[[#This Row],[quantity]]&gt;=umbral_mediano,"Mediano", "Pequeño"))</f>
        <v>Grande</v>
      </c>
    </row>
    <row r="12" spans="2:15" x14ac:dyDescent="0.25">
      <c r="B12">
        <v>9</v>
      </c>
      <c r="C12" s="1">
        <v>44722</v>
      </c>
      <c r="D12" t="s">
        <v>21</v>
      </c>
      <c r="E12" t="s">
        <v>11</v>
      </c>
      <c r="F12">
        <v>20</v>
      </c>
      <c r="G12">
        <v>1</v>
      </c>
      <c r="H12">
        <v>20</v>
      </c>
      <c r="I12" t="s">
        <v>15</v>
      </c>
      <c r="J12" t="s">
        <v>22</v>
      </c>
      <c r="K12" t="s">
        <v>23</v>
      </c>
      <c r="L12">
        <f t="shared" si="0"/>
        <v>2022</v>
      </c>
      <c r="M12" s="13">
        <f t="shared" si="1"/>
        <v>44713</v>
      </c>
      <c r="N12" t="str">
        <f t="shared" si="2"/>
        <v>Cash</v>
      </c>
      <c r="O12" t="str">
        <f>IF(Tabla22[[#This Row],[quantity]]&gt;=umbral_grande, "Grande", IF(Tabla22[[#This Row],[quantity]]&gt;=umbral_mediano,"Mediano", "Pequeño"))</f>
        <v>Pequeño</v>
      </c>
    </row>
    <row r="13" spans="2:15" x14ac:dyDescent="0.25">
      <c r="B13">
        <v>10</v>
      </c>
      <c r="C13" s="1">
        <v>44820</v>
      </c>
      <c r="D13" t="s">
        <v>21</v>
      </c>
      <c r="E13" t="s">
        <v>11</v>
      </c>
      <c r="F13">
        <v>20</v>
      </c>
      <c r="G13">
        <v>5</v>
      </c>
      <c r="H13">
        <v>100</v>
      </c>
      <c r="I13" t="s">
        <v>19</v>
      </c>
      <c r="J13" t="s">
        <v>12</v>
      </c>
      <c r="K13" t="s">
        <v>16</v>
      </c>
      <c r="L13">
        <f t="shared" si="0"/>
        <v>2022</v>
      </c>
      <c r="M13" s="13">
        <f t="shared" si="1"/>
        <v>44805</v>
      </c>
      <c r="N13" t="str">
        <f t="shared" si="2"/>
        <v>Online</v>
      </c>
      <c r="O13" t="str">
        <f>IF(Tabla22[[#This Row],[quantity]]&gt;=umbral_grande, "Grande", IF(Tabla22[[#This Row],[quantity]]&gt;=umbral_mediano,"Mediano", "Pequeño"))</f>
        <v>Pequeño</v>
      </c>
    </row>
    <row r="14" spans="2:15" x14ac:dyDescent="0.25">
      <c r="B14">
        <v>11</v>
      </c>
      <c r="C14" s="1">
        <v>44896</v>
      </c>
      <c r="D14" t="s">
        <v>24</v>
      </c>
      <c r="E14" t="s">
        <v>11</v>
      </c>
      <c r="F14">
        <v>50</v>
      </c>
      <c r="G14">
        <v>8</v>
      </c>
      <c r="H14">
        <v>400</v>
      </c>
      <c r="I14" t="s">
        <v>19</v>
      </c>
      <c r="J14" t="s">
        <v>22</v>
      </c>
      <c r="K14" t="s">
        <v>16</v>
      </c>
      <c r="L14">
        <f t="shared" si="0"/>
        <v>2022</v>
      </c>
      <c r="M14" s="13">
        <f t="shared" si="1"/>
        <v>44896</v>
      </c>
      <c r="N14" t="str">
        <f t="shared" si="2"/>
        <v>Online</v>
      </c>
      <c r="O14" t="str">
        <f>IF(Tabla22[[#This Row],[quantity]]&gt;=umbral_grande, "Grande", IF(Tabla22[[#This Row],[quantity]]&gt;=umbral_mediano,"Mediano", "Pequeño"))</f>
        <v>Mediano</v>
      </c>
    </row>
    <row r="15" spans="2:15" x14ac:dyDescent="0.25">
      <c r="B15">
        <v>12</v>
      </c>
      <c r="C15" s="1">
        <v>44754</v>
      </c>
      <c r="D15" t="s">
        <v>14</v>
      </c>
      <c r="E15" t="s">
        <v>11</v>
      </c>
      <c r="F15">
        <v>20</v>
      </c>
      <c r="G15">
        <v>8</v>
      </c>
      <c r="H15">
        <v>160</v>
      </c>
      <c r="I15" t="s">
        <v>19</v>
      </c>
      <c r="J15" t="s">
        <v>22</v>
      </c>
      <c r="K15" t="s">
        <v>13</v>
      </c>
      <c r="L15">
        <f t="shared" si="0"/>
        <v>2022</v>
      </c>
      <c r="M15" s="13">
        <f t="shared" si="1"/>
        <v>44743</v>
      </c>
      <c r="N15" t="str">
        <f t="shared" si="2"/>
        <v>Online</v>
      </c>
      <c r="O15" t="str">
        <f>IF(Tabla22[[#This Row],[quantity]]&gt;=umbral_grande, "Grande", IF(Tabla22[[#This Row],[quantity]]&gt;=umbral_mediano,"Mediano", "Pequeño"))</f>
        <v>Mediano</v>
      </c>
    </row>
    <row r="16" spans="2:15" x14ac:dyDescent="0.25">
      <c r="B16">
        <v>13</v>
      </c>
      <c r="C16" s="1">
        <v>44917</v>
      </c>
      <c r="D16" t="s">
        <v>21</v>
      </c>
      <c r="E16" t="s">
        <v>11</v>
      </c>
      <c r="F16">
        <v>20</v>
      </c>
      <c r="G16">
        <v>9</v>
      </c>
      <c r="H16">
        <v>180</v>
      </c>
      <c r="I16" t="s">
        <v>19</v>
      </c>
      <c r="J16" t="s">
        <v>22</v>
      </c>
      <c r="K16" t="s">
        <v>16</v>
      </c>
      <c r="L16">
        <f t="shared" si="0"/>
        <v>2022</v>
      </c>
      <c r="M16" s="13">
        <f t="shared" si="1"/>
        <v>44896</v>
      </c>
      <c r="N16" t="str">
        <f t="shared" si="2"/>
        <v>Online</v>
      </c>
      <c r="O16" t="str">
        <f>IF(Tabla22[[#This Row],[quantity]]&gt;=umbral_grande, "Grande", IF(Tabla22[[#This Row],[quantity]]&gt;=umbral_mediano,"Mediano", "Pequeño"))</f>
        <v>Mediano</v>
      </c>
    </row>
    <row r="17" spans="2:15" x14ac:dyDescent="0.25">
      <c r="B17">
        <v>14</v>
      </c>
      <c r="C17" s="1">
        <v>44890</v>
      </c>
      <c r="D17" t="s">
        <v>24</v>
      </c>
      <c r="E17" t="s">
        <v>11</v>
      </c>
      <c r="F17">
        <v>50</v>
      </c>
      <c r="G17">
        <v>4</v>
      </c>
      <c r="H17">
        <v>200</v>
      </c>
      <c r="I17" t="s">
        <v>19</v>
      </c>
      <c r="J17" t="s">
        <v>12</v>
      </c>
      <c r="K17" t="s">
        <v>23</v>
      </c>
      <c r="L17">
        <f t="shared" si="0"/>
        <v>2022</v>
      </c>
      <c r="M17" s="13">
        <f t="shared" si="1"/>
        <v>44866</v>
      </c>
      <c r="N17" t="str">
        <f t="shared" si="2"/>
        <v>Online</v>
      </c>
      <c r="O17" t="str">
        <f>IF(Tabla22[[#This Row],[quantity]]&gt;=umbral_grande, "Grande", IF(Tabla22[[#This Row],[quantity]]&gt;=umbral_mediano,"Mediano", "Pequeño"))</f>
        <v>Pequeño</v>
      </c>
    </row>
    <row r="18" spans="2:15" x14ac:dyDescent="0.25">
      <c r="B18">
        <v>15</v>
      </c>
      <c r="C18" s="1">
        <v>44960</v>
      </c>
      <c r="D18" t="s">
        <v>10</v>
      </c>
      <c r="E18" t="s">
        <v>11</v>
      </c>
      <c r="F18">
        <v>20</v>
      </c>
      <c r="G18">
        <v>3</v>
      </c>
      <c r="H18">
        <v>60</v>
      </c>
      <c r="I18" t="s">
        <v>15</v>
      </c>
      <c r="J18" t="s">
        <v>22</v>
      </c>
      <c r="K18" t="s">
        <v>20</v>
      </c>
      <c r="L18">
        <f t="shared" si="0"/>
        <v>2023</v>
      </c>
      <c r="M18" s="13">
        <f t="shared" si="1"/>
        <v>44958</v>
      </c>
      <c r="N18" t="str">
        <f t="shared" si="2"/>
        <v>Cash</v>
      </c>
      <c r="O18" t="str">
        <f>IF(Tabla22[[#This Row],[quantity]]&gt;=umbral_grande, "Grande", IF(Tabla22[[#This Row],[quantity]]&gt;=umbral_mediano,"Mediano", "Pequeño"))</f>
        <v>Pequeño</v>
      </c>
    </row>
    <row r="19" spans="2:15" x14ac:dyDescent="0.25">
      <c r="B19">
        <v>16</v>
      </c>
      <c r="C19" s="1">
        <v>44665</v>
      </c>
      <c r="D19" t="s">
        <v>25</v>
      </c>
      <c r="E19" t="s">
        <v>11</v>
      </c>
      <c r="F19">
        <v>60</v>
      </c>
      <c r="G19">
        <v>11</v>
      </c>
      <c r="H19">
        <v>660</v>
      </c>
      <c r="J19" t="s">
        <v>22</v>
      </c>
      <c r="K19" t="s">
        <v>26</v>
      </c>
      <c r="L19">
        <f t="shared" si="0"/>
        <v>2022</v>
      </c>
      <c r="M19" s="13">
        <f t="shared" si="1"/>
        <v>44652</v>
      </c>
      <c r="N19" t="str">
        <f t="shared" si="2"/>
        <v>Sin registrar</v>
      </c>
      <c r="O19" t="str">
        <f>IF(Tabla22[[#This Row],[quantity]]&gt;=umbral_grande, "Grande", IF(Tabla22[[#This Row],[quantity]]&gt;=umbral_mediano,"Mediano", "Pequeño"))</f>
        <v>Grande</v>
      </c>
    </row>
    <row r="20" spans="2:15" x14ac:dyDescent="0.25">
      <c r="B20">
        <v>17</v>
      </c>
      <c r="C20" s="1">
        <v>44850</v>
      </c>
      <c r="D20" t="s">
        <v>21</v>
      </c>
      <c r="E20" t="s">
        <v>11</v>
      </c>
      <c r="F20">
        <v>20</v>
      </c>
      <c r="G20">
        <v>11</v>
      </c>
      <c r="H20">
        <v>220</v>
      </c>
      <c r="I20" t="s">
        <v>15</v>
      </c>
      <c r="J20" t="s">
        <v>22</v>
      </c>
      <c r="K20" t="s">
        <v>23</v>
      </c>
      <c r="L20">
        <f t="shared" si="0"/>
        <v>2022</v>
      </c>
      <c r="M20" s="13">
        <f t="shared" si="1"/>
        <v>44835</v>
      </c>
      <c r="N20" t="str">
        <f t="shared" si="2"/>
        <v>Cash</v>
      </c>
      <c r="O20" t="str">
        <f>IF(Tabla22[[#This Row],[quantity]]&gt;=umbral_grande, "Grande", IF(Tabla22[[#This Row],[quantity]]&gt;=umbral_mediano,"Mediano", "Pequeño"))</f>
        <v>Grande</v>
      </c>
    </row>
    <row r="21" spans="2:15" x14ac:dyDescent="0.25">
      <c r="B21">
        <v>18</v>
      </c>
      <c r="C21" s="1">
        <v>44870</v>
      </c>
      <c r="D21" t="s">
        <v>21</v>
      </c>
      <c r="E21" t="s">
        <v>11</v>
      </c>
      <c r="F21">
        <v>20</v>
      </c>
      <c r="G21">
        <v>10</v>
      </c>
      <c r="H21">
        <v>200</v>
      </c>
      <c r="I21" t="s">
        <v>15</v>
      </c>
      <c r="J21" t="s">
        <v>22</v>
      </c>
      <c r="K21" t="s">
        <v>13</v>
      </c>
      <c r="L21">
        <f t="shared" si="0"/>
        <v>2022</v>
      </c>
      <c r="M21" s="13">
        <f t="shared" si="1"/>
        <v>44866</v>
      </c>
      <c r="N21" t="str">
        <f t="shared" si="2"/>
        <v>Cash</v>
      </c>
      <c r="O21" t="str">
        <f>IF(Tabla22[[#This Row],[quantity]]&gt;=umbral_grande, "Grande", IF(Tabla22[[#This Row],[quantity]]&gt;=umbral_mediano,"Mediano", "Pequeño"))</f>
        <v>Mediano</v>
      </c>
    </row>
    <row r="22" spans="2:15" x14ac:dyDescent="0.25">
      <c r="B22">
        <v>19</v>
      </c>
      <c r="C22" s="1">
        <v>44795</v>
      </c>
      <c r="D22" t="s">
        <v>21</v>
      </c>
      <c r="E22" t="s">
        <v>11</v>
      </c>
      <c r="F22">
        <v>20</v>
      </c>
      <c r="G22">
        <v>11</v>
      </c>
      <c r="H22">
        <v>220</v>
      </c>
      <c r="I22" t="s">
        <v>15</v>
      </c>
      <c r="J22" t="s">
        <v>22</v>
      </c>
      <c r="K22" t="s">
        <v>13</v>
      </c>
      <c r="L22">
        <f t="shared" si="0"/>
        <v>2022</v>
      </c>
      <c r="M22" s="13">
        <f t="shared" si="1"/>
        <v>44774</v>
      </c>
      <c r="N22" t="str">
        <f t="shared" si="2"/>
        <v>Cash</v>
      </c>
      <c r="O22" t="str">
        <f>IF(Tabla22[[#This Row],[quantity]]&gt;=umbral_grande, "Grande", IF(Tabla22[[#This Row],[quantity]]&gt;=umbral_mediano,"Mediano", "Pequeño"))</f>
        <v>Grande</v>
      </c>
    </row>
    <row r="23" spans="2:15" x14ac:dyDescent="0.25">
      <c r="B23">
        <v>20</v>
      </c>
      <c r="C23" s="1">
        <v>44819</v>
      </c>
      <c r="D23" t="s">
        <v>27</v>
      </c>
      <c r="E23" t="s">
        <v>18</v>
      </c>
      <c r="F23">
        <v>40</v>
      </c>
      <c r="G23">
        <v>10</v>
      </c>
      <c r="H23">
        <v>400</v>
      </c>
      <c r="I23" t="s">
        <v>19</v>
      </c>
      <c r="J23" t="s">
        <v>12</v>
      </c>
      <c r="K23" t="s">
        <v>13</v>
      </c>
      <c r="L23">
        <f t="shared" si="0"/>
        <v>2022</v>
      </c>
      <c r="M23" s="13">
        <f t="shared" si="1"/>
        <v>44805</v>
      </c>
      <c r="N23" t="str">
        <f t="shared" si="2"/>
        <v>Online</v>
      </c>
      <c r="O23" t="str">
        <f>IF(Tabla22[[#This Row],[quantity]]&gt;=umbral_grande, "Grande", IF(Tabla22[[#This Row],[quantity]]&gt;=umbral_mediano,"Mediano", "Pequeño"))</f>
        <v>Mediano</v>
      </c>
    </row>
    <row r="24" spans="2:15" x14ac:dyDescent="0.25">
      <c r="B24">
        <v>21</v>
      </c>
      <c r="C24" s="1">
        <v>44916</v>
      </c>
      <c r="D24" t="s">
        <v>27</v>
      </c>
      <c r="E24" t="s">
        <v>18</v>
      </c>
      <c r="F24">
        <v>40</v>
      </c>
      <c r="G24">
        <v>15</v>
      </c>
      <c r="H24">
        <v>600</v>
      </c>
      <c r="I24" t="s">
        <v>15</v>
      </c>
      <c r="J24" t="s">
        <v>12</v>
      </c>
      <c r="K24" t="s">
        <v>20</v>
      </c>
      <c r="L24">
        <f t="shared" si="0"/>
        <v>2022</v>
      </c>
      <c r="M24" s="13">
        <f t="shared" si="1"/>
        <v>44896</v>
      </c>
      <c r="N24" t="str">
        <f t="shared" si="2"/>
        <v>Cash</v>
      </c>
      <c r="O24" t="str">
        <f>IF(Tabla22[[#This Row],[quantity]]&gt;=umbral_grande, "Grande", IF(Tabla22[[#This Row],[quantity]]&gt;=umbral_mediano,"Mediano", "Pequeño"))</f>
        <v>Grande</v>
      </c>
    </row>
    <row r="25" spans="2:15" x14ac:dyDescent="0.25">
      <c r="B25">
        <v>22</v>
      </c>
      <c r="C25" s="1">
        <v>44838</v>
      </c>
      <c r="D25" t="s">
        <v>17</v>
      </c>
      <c r="E25" t="s">
        <v>18</v>
      </c>
      <c r="F25">
        <v>25</v>
      </c>
      <c r="G25">
        <v>12</v>
      </c>
      <c r="H25">
        <v>300</v>
      </c>
      <c r="I25" t="s">
        <v>19</v>
      </c>
      <c r="J25" t="s">
        <v>12</v>
      </c>
      <c r="K25" t="s">
        <v>20</v>
      </c>
      <c r="L25">
        <f t="shared" si="0"/>
        <v>2022</v>
      </c>
      <c r="M25" s="13">
        <f t="shared" si="1"/>
        <v>44835</v>
      </c>
      <c r="N25" t="str">
        <f t="shared" si="2"/>
        <v>Online</v>
      </c>
      <c r="O25" t="str">
        <f>IF(Tabla22[[#This Row],[quantity]]&gt;=umbral_grande, "Grande", IF(Tabla22[[#This Row],[quantity]]&gt;=umbral_mediano,"Mediano", "Pequeño"))</f>
        <v>Grande</v>
      </c>
    </row>
    <row r="26" spans="2:15" x14ac:dyDescent="0.25">
      <c r="B26">
        <v>23</v>
      </c>
      <c r="C26" s="1">
        <v>44707</v>
      </c>
      <c r="D26" t="s">
        <v>25</v>
      </c>
      <c r="E26" t="s">
        <v>11</v>
      </c>
      <c r="F26">
        <v>60</v>
      </c>
      <c r="G26">
        <v>3</v>
      </c>
      <c r="H26">
        <v>180</v>
      </c>
      <c r="I26" t="s">
        <v>19</v>
      </c>
      <c r="J26" t="s">
        <v>12</v>
      </c>
      <c r="K26" t="s">
        <v>26</v>
      </c>
      <c r="L26">
        <f t="shared" si="0"/>
        <v>2022</v>
      </c>
      <c r="M26" s="13">
        <f t="shared" si="1"/>
        <v>44682</v>
      </c>
      <c r="N26" t="str">
        <f t="shared" si="2"/>
        <v>Online</v>
      </c>
      <c r="O26" t="str">
        <f>IF(Tabla22[[#This Row],[quantity]]&gt;=umbral_grande, "Grande", IF(Tabla22[[#This Row],[quantity]]&gt;=umbral_mediano,"Mediano", "Pequeño"))</f>
        <v>Pequeño</v>
      </c>
    </row>
    <row r="27" spans="2:15" x14ac:dyDescent="0.25">
      <c r="B27">
        <v>24</v>
      </c>
      <c r="C27" s="1">
        <v>44968</v>
      </c>
      <c r="D27" t="s">
        <v>17</v>
      </c>
      <c r="E27" t="s">
        <v>18</v>
      </c>
      <c r="F27">
        <v>25</v>
      </c>
      <c r="G27">
        <v>10</v>
      </c>
      <c r="H27">
        <v>250</v>
      </c>
      <c r="I27" t="s">
        <v>19</v>
      </c>
      <c r="J27" t="s">
        <v>12</v>
      </c>
      <c r="K27" t="s">
        <v>16</v>
      </c>
      <c r="L27">
        <f t="shared" si="0"/>
        <v>2023</v>
      </c>
      <c r="M27" s="13">
        <f t="shared" si="1"/>
        <v>44958</v>
      </c>
      <c r="N27" t="str">
        <f t="shared" si="2"/>
        <v>Online</v>
      </c>
      <c r="O27" t="str">
        <f>IF(Tabla22[[#This Row],[quantity]]&gt;=umbral_grande, "Grande", IF(Tabla22[[#This Row],[quantity]]&gt;=umbral_mediano,"Mediano", "Pequeño"))</f>
        <v>Mediano</v>
      </c>
    </row>
    <row r="28" spans="2:15" x14ac:dyDescent="0.25">
      <c r="B28">
        <v>25</v>
      </c>
      <c r="C28" s="1">
        <v>44804</v>
      </c>
      <c r="D28" t="s">
        <v>25</v>
      </c>
      <c r="E28" t="s">
        <v>11</v>
      </c>
      <c r="F28">
        <v>60</v>
      </c>
      <c r="G28">
        <v>1</v>
      </c>
      <c r="H28">
        <v>60</v>
      </c>
      <c r="I28" t="s">
        <v>19</v>
      </c>
      <c r="J28" t="s">
        <v>22</v>
      </c>
      <c r="K28" t="s">
        <v>20</v>
      </c>
      <c r="L28">
        <f t="shared" si="0"/>
        <v>2022</v>
      </c>
      <c r="M28" s="13">
        <f t="shared" si="1"/>
        <v>44774</v>
      </c>
      <c r="N28" t="str">
        <f t="shared" si="2"/>
        <v>Online</v>
      </c>
      <c r="O28" t="str">
        <f>IF(Tabla22[[#This Row],[quantity]]&gt;=umbral_grande, "Grande", IF(Tabla22[[#This Row],[quantity]]&gt;=umbral_mediano,"Mediano", "Pequeño"))</f>
        <v>Pequeño</v>
      </c>
    </row>
    <row r="29" spans="2:15" x14ac:dyDescent="0.25">
      <c r="B29">
        <v>26</v>
      </c>
      <c r="C29" s="1">
        <v>44791</v>
      </c>
      <c r="D29" t="s">
        <v>17</v>
      </c>
      <c r="E29" t="s">
        <v>18</v>
      </c>
      <c r="F29">
        <v>25</v>
      </c>
      <c r="G29">
        <v>4</v>
      </c>
      <c r="H29">
        <v>100</v>
      </c>
      <c r="I29" t="s">
        <v>15</v>
      </c>
      <c r="J29" t="s">
        <v>12</v>
      </c>
      <c r="K29" t="s">
        <v>16</v>
      </c>
      <c r="L29">
        <f t="shared" si="0"/>
        <v>2022</v>
      </c>
      <c r="M29" s="13">
        <f t="shared" si="1"/>
        <v>44774</v>
      </c>
      <c r="N29" t="str">
        <f t="shared" si="2"/>
        <v>Cash</v>
      </c>
      <c r="O29" t="str">
        <f>IF(Tabla22[[#This Row],[quantity]]&gt;=umbral_grande, "Grande", IF(Tabla22[[#This Row],[quantity]]&gt;=umbral_mediano,"Mediano", "Pequeño"))</f>
        <v>Pequeño</v>
      </c>
    </row>
    <row r="30" spans="2:15" x14ac:dyDescent="0.25">
      <c r="B30">
        <v>27</v>
      </c>
      <c r="C30" s="1">
        <v>44846</v>
      </c>
      <c r="D30" t="s">
        <v>27</v>
      </c>
      <c r="E30" t="s">
        <v>18</v>
      </c>
      <c r="F30">
        <v>40</v>
      </c>
      <c r="G30">
        <v>11</v>
      </c>
      <c r="H30">
        <v>440</v>
      </c>
      <c r="I30" t="s">
        <v>19</v>
      </c>
      <c r="J30" t="s">
        <v>22</v>
      </c>
      <c r="K30" t="s">
        <v>16</v>
      </c>
      <c r="L30">
        <f t="shared" si="0"/>
        <v>2022</v>
      </c>
      <c r="M30" s="13">
        <f t="shared" si="1"/>
        <v>44835</v>
      </c>
      <c r="N30" t="str">
        <f t="shared" si="2"/>
        <v>Online</v>
      </c>
      <c r="O30" t="str">
        <f>IF(Tabla22[[#This Row],[quantity]]&gt;=umbral_grande, "Grande", IF(Tabla22[[#This Row],[quantity]]&gt;=umbral_mediano,"Mediano", "Pequeño"))</f>
        <v>Grande</v>
      </c>
    </row>
    <row r="31" spans="2:15" x14ac:dyDescent="0.25">
      <c r="B31">
        <v>28</v>
      </c>
      <c r="C31" s="1">
        <v>44932</v>
      </c>
      <c r="D31" t="s">
        <v>27</v>
      </c>
      <c r="E31" t="s">
        <v>18</v>
      </c>
      <c r="F31">
        <v>40</v>
      </c>
      <c r="G31">
        <v>10</v>
      </c>
      <c r="H31">
        <v>400</v>
      </c>
      <c r="I31" t="s">
        <v>19</v>
      </c>
      <c r="J31" t="s">
        <v>22</v>
      </c>
      <c r="K31" t="s">
        <v>16</v>
      </c>
      <c r="L31">
        <f t="shared" si="0"/>
        <v>2023</v>
      </c>
      <c r="M31" s="13">
        <f t="shared" si="1"/>
        <v>44927</v>
      </c>
      <c r="N31" t="str">
        <f t="shared" si="2"/>
        <v>Online</v>
      </c>
      <c r="O31" t="str">
        <f>IF(Tabla22[[#This Row],[quantity]]&gt;=umbral_grande, "Grande", IF(Tabla22[[#This Row],[quantity]]&gt;=umbral_mediano,"Mediano", "Pequeño"))</f>
        <v>Mediano</v>
      </c>
    </row>
    <row r="32" spans="2:15" x14ac:dyDescent="0.25">
      <c r="B32">
        <v>29</v>
      </c>
      <c r="C32" s="1">
        <v>44967</v>
      </c>
      <c r="D32" t="s">
        <v>17</v>
      </c>
      <c r="E32" t="s">
        <v>18</v>
      </c>
      <c r="F32">
        <v>25</v>
      </c>
      <c r="G32">
        <v>9</v>
      </c>
      <c r="H32">
        <v>225</v>
      </c>
      <c r="I32" t="s">
        <v>19</v>
      </c>
      <c r="J32" t="s">
        <v>12</v>
      </c>
      <c r="K32" t="s">
        <v>16</v>
      </c>
      <c r="L32">
        <f t="shared" si="0"/>
        <v>2023</v>
      </c>
      <c r="M32" s="13">
        <f t="shared" si="1"/>
        <v>44958</v>
      </c>
      <c r="N32" t="str">
        <f t="shared" si="2"/>
        <v>Online</v>
      </c>
      <c r="O32" t="str">
        <f>IF(Tabla22[[#This Row],[quantity]]&gt;=umbral_grande, "Grande", IF(Tabla22[[#This Row],[quantity]]&gt;=umbral_mediano,"Mediano", "Pequeño"))</f>
        <v>Mediano</v>
      </c>
    </row>
    <row r="33" spans="2:15" x14ac:dyDescent="0.25">
      <c r="B33">
        <v>30</v>
      </c>
      <c r="C33" s="1">
        <v>44954</v>
      </c>
      <c r="D33" t="s">
        <v>24</v>
      </c>
      <c r="E33" t="s">
        <v>11</v>
      </c>
      <c r="F33">
        <v>50</v>
      </c>
      <c r="G33">
        <v>2</v>
      </c>
      <c r="H33">
        <v>100</v>
      </c>
      <c r="I33" t="s">
        <v>15</v>
      </c>
      <c r="J33" t="s">
        <v>22</v>
      </c>
      <c r="K33" t="s">
        <v>13</v>
      </c>
      <c r="L33">
        <f t="shared" si="0"/>
        <v>2023</v>
      </c>
      <c r="M33" s="13">
        <f t="shared" si="1"/>
        <v>44927</v>
      </c>
      <c r="N33" t="str">
        <f t="shared" si="2"/>
        <v>Cash</v>
      </c>
      <c r="O33" t="str">
        <f>IF(Tabla22[[#This Row],[quantity]]&gt;=umbral_grande, "Grande", IF(Tabla22[[#This Row],[quantity]]&gt;=umbral_mediano,"Mediano", "Pequeño"))</f>
        <v>Pequeño</v>
      </c>
    </row>
    <row r="34" spans="2:15" x14ac:dyDescent="0.25">
      <c r="B34">
        <v>31</v>
      </c>
      <c r="C34" s="1">
        <v>44818</v>
      </c>
      <c r="D34" t="s">
        <v>27</v>
      </c>
      <c r="E34" t="s">
        <v>18</v>
      </c>
      <c r="F34">
        <v>40</v>
      </c>
      <c r="G34">
        <v>13</v>
      </c>
      <c r="H34">
        <v>520</v>
      </c>
      <c r="I34" t="s">
        <v>19</v>
      </c>
      <c r="J34" t="s">
        <v>22</v>
      </c>
      <c r="K34" t="s">
        <v>20</v>
      </c>
      <c r="L34">
        <f t="shared" si="0"/>
        <v>2022</v>
      </c>
      <c r="M34" s="13">
        <f t="shared" si="1"/>
        <v>44805</v>
      </c>
      <c r="N34" t="str">
        <f t="shared" si="2"/>
        <v>Online</v>
      </c>
      <c r="O34" t="str">
        <f>IF(Tabla22[[#This Row],[quantity]]&gt;=umbral_grande, "Grande", IF(Tabla22[[#This Row],[quantity]]&gt;=umbral_mediano,"Mediano", "Pequeño"))</f>
        <v>Grande</v>
      </c>
    </row>
    <row r="35" spans="2:15" x14ac:dyDescent="0.25">
      <c r="B35">
        <v>32</v>
      </c>
      <c r="C35" s="1">
        <v>44687</v>
      </c>
      <c r="D35" t="s">
        <v>10</v>
      </c>
      <c r="E35" t="s">
        <v>11</v>
      </c>
      <c r="F35">
        <v>20</v>
      </c>
      <c r="G35">
        <v>4</v>
      </c>
      <c r="H35">
        <v>80</v>
      </c>
      <c r="J35" t="s">
        <v>12</v>
      </c>
      <c r="K35" t="s">
        <v>23</v>
      </c>
      <c r="L35">
        <f t="shared" si="0"/>
        <v>2022</v>
      </c>
      <c r="M35" s="13">
        <f t="shared" si="1"/>
        <v>44682</v>
      </c>
      <c r="N35" t="str">
        <f t="shared" si="2"/>
        <v>Sin registrar</v>
      </c>
      <c r="O35" t="str">
        <f>IF(Tabla22[[#This Row],[quantity]]&gt;=umbral_grande, "Grande", IF(Tabla22[[#This Row],[quantity]]&gt;=umbral_mediano,"Mediano", "Pequeño"))</f>
        <v>Pequeño</v>
      </c>
    </row>
    <row r="36" spans="2:15" x14ac:dyDescent="0.25">
      <c r="B36">
        <v>33</v>
      </c>
      <c r="C36" s="1">
        <v>44962</v>
      </c>
      <c r="D36" t="s">
        <v>10</v>
      </c>
      <c r="E36" t="s">
        <v>11</v>
      </c>
      <c r="F36">
        <v>20</v>
      </c>
      <c r="G36">
        <v>13</v>
      </c>
      <c r="H36">
        <v>260</v>
      </c>
      <c r="I36" t="s">
        <v>19</v>
      </c>
      <c r="J36" t="s">
        <v>12</v>
      </c>
      <c r="K36" t="s">
        <v>13</v>
      </c>
      <c r="L36">
        <f t="shared" si="0"/>
        <v>2023</v>
      </c>
      <c r="M36" s="13">
        <f t="shared" si="1"/>
        <v>44958</v>
      </c>
      <c r="N36" t="str">
        <f t="shared" si="2"/>
        <v>Online</v>
      </c>
      <c r="O36" t="str">
        <f>IF(Tabla22[[#This Row],[quantity]]&gt;=umbral_grande, "Grande", IF(Tabla22[[#This Row],[quantity]]&gt;=umbral_mediano,"Mediano", "Pequeño"))</f>
        <v>Grande</v>
      </c>
    </row>
    <row r="37" spans="2:15" x14ac:dyDescent="0.25">
      <c r="B37">
        <v>34</v>
      </c>
      <c r="C37" s="1">
        <v>44961</v>
      </c>
      <c r="D37" t="s">
        <v>24</v>
      </c>
      <c r="E37" t="s">
        <v>11</v>
      </c>
      <c r="F37">
        <v>50</v>
      </c>
      <c r="G37">
        <v>12</v>
      </c>
      <c r="H37">
        <v>600</v>
      </c>
      <c r="I37" t="s">
        <v>19</v>
      </c>
      <c r="J37" t="s">
        <v>22</v>
      </c>
      <c r="K37" t="s">
        <v>20</v>
      </c>
      <c r="L37">
        <f t="shared" si="0"/>
        <v>2023</v>
      </c>
      <c r="M37" s="13">
        <f t="shared" si="1"/>
        <v>44958</v>
      </c>
      <c r="N37" t="str">
        <f t="shared" si="2"/>
        <v>Online</v>
      </c>
      <c r="O37" t="str">
        <f>IF(Tabla22[[#This Row],[quantity]]&gt;=umbral_grande, "Grande", IF(Tabla22[[#This Row],[quantity]]&gt;=umbral_mediano,"Mediano", "Pequeño"))</f>
        <v>Grande</v>
      </c>
    </row>
    <row r="38" spans="2:15" x14ac:dyDescent="0.25">
      <c r="B38">
        <v>35</v>
      </c>
      <c r="C38" s="1">
        <v>44703</v>
      </c>
      <c r="D38" t="s">
        <v>14</v>
      </c>
      <c r="E38" t="s">
        <v>11</v>
      </c>
      <c r="F38">
        <v>20</v>
      </c>
      <c r="G38">
        <v>8</v>
      </c>
      <c r="H38">
        <v>160</v>
      </c>
      <c r="I38" t="s">
        <v>15</v>
      </c>
      <c r="J38" t="s">
        <v>12</v>
      </c>
      <c r="K38" t="s">
        <v>23</v>
      </c>
      <c r="L38">
        <f t="shared" si="0"/>
        <v>2022</v>
      </c>
      <c r="M38" s="13">
        <f t="shared" si="1"/>
        <v>44682</v>
      </c>
      <c r="N38" t="str">
        <f t="shared" si="2"/>
        <v>Cash</v>
      </c>
      <c r="O38" t="str">
        <f>IF(Tabla22[[#This Row],[quantity]]&gt;=umbral_grande, "Grande", IF(Tabla22[[#This Row],[quantity]]&gt;=umbral_mediano,"Mediano", "Pequeño"))</f>
        <v>Mediano</v>
      </c>
    </row>
    <row r="39" spans="2:15" x14ac:dyDescent="0.25">
      <c r="B39">
        <v>36</v>
      </c>
      <c r="C39" s="1">
        <v>44744</v>
      </c>
      <c r="D39" t="s">
        <v>27</v>
      </c>
      <c r="E39" t="s">
        <v>18</v>
      </c>
      <c r="F39">
        <v>40</v>
      </c>
      <c r="G39">
        <v>10</v>
      </c>
      <c r="H39">
        <v>400</v>
      </c>
      <c r="I39" t="s">
        <v>19</v>
      </c>
      <c r="J39" t="s">
        <v>12</v>
      </c>
      <c r="K39" t="s">
        <v>16</v>
      </c>
      <c r="L39">
        <f t="shared" si="0"/>
        <v>2022</v>
      </c>
      <c r="M39" s="13">
        <f t="shared" si="1"/>
        <v>44743</v>
      </c>
      <c r="N39" t="str">
        <f t="shared" si="2"/>
        <v>Online</v>
      </c>
      <c r="O39" t="str">
        <f>IF(Tabla22[[#This Row],[quantity]]&gt;=umbral_grande, "Grande", IF(Tabla22[[#This Row],[quantity]]&gt;=umbral_mediano,"Mediano", "Pequeño"))</f>
        <v>Mediano</v>
      </c>
    </row>
    <row r="40" spans="2:15" x14ac:dyDescent="0.25">
      <c r="B40">
        <v>37</v>
      </c>
      <c r="C40" s="1">
        <v>44931</v>
      </c>
      <c r="D40" t="s">
        <v>24</v>
      </c>
      <c r="E40" t="s">
        <v>11</v>
      </c>
      <c r="F40">
        <v>50</v>
      </c>
      <c r="G40">
        <v>10</v>
      </c>
      <c r="H40">
        <v>500</v>
      </c>
      <c r="I40" t="s">
        <v>15</v>
      </c>
      <c r="J40" t="s">
        <v>12</v>
      </c>
      <c r="K40" t="s">
        <v>13</v>
      </c>
      <c r="L40">
        <f t="shared" si="0"/>
        <v>2023</v>
      </c>
      <c r="M40" s="13">
        <f t="shared" si="1"/>
        <v>44927</v>
      </c>
      <c r="N40" t="str">
        <f t="shared" si="2"/>
        <v>Cash</v>
      </c>
      <c r="O40" t="str">
        <f>IF(Tabla22[[#This Row],[quantity]]&gt;=umbral_grande, "Grande", IF(Tabla22[[#This Row],[quantity]]&gt;=umbral_mediano,"Mediano", "Pequeño"))</f>
        <v>Mediano</v>
      </c>
    </row>
    <row r="41" spans="2:15" x14ac:dyDescent="0.25">
      <c r="B41">
        <v>38</v>
      </c>
      <c r="C41" s="1">
        <v>44993</v>
      </c>
      <c r="D41" t="s">
        <v>21</v>
      </c>
      <c r="E41" t="s">
        <v>11</v>
      </c>
      <c r="F41">
        <v>20</v>
      </c>
      <c r="G41">
        <v>12</v>
      </c>
      <c r="H41">
        <v>240</v>
      </c>
      <c r="I41" t="s">
        <v>19</v>
      </c>
      <c r="J41" t="s">
        <v>22</v>
      </c>
      <c r="K41" t="s">
        <v>13</v>
      </c>
      <c r="L41">
        <f t="shared" si="0"/>
        <v>2023</v>
      </c>
      <c r="M41" s="13">
        <f t="shared" si="1"/>
        <v>44986</v>
      </c>
      <c r="N41" t="str">
        <f t="shared" si="2"/>
        <v>Online</v>
      </c>
      <c r="O41" t="str">
        <f>IF(Tabla22[[#This Row],[quantity]]&gt;=umbral_grande, "Grande", IF(Tabla22[[#This Row],[quantity]]&gt;=umbral_mediano,"Mediano", "Pequeño"))</f>
        <v>Grande</v>
      </c>
    </row>
    <row r="42" spans="2:15" x14ac:dyDescent="0.25">
      <c r="B42">
        <v>39</v>
      </c>
      <c r="C42" s="1">
        <v>44695</v>
      </c>
      <c r="D42" t="s">
        <v>14</v>
      </c>
      <c r="E42" t="s">
        <v>11</v>
      </c>
      <c r="F42">
        <v>20</v>
      </c>
      <c r="G42">
        <v>2</v>
      </c>
      <c r="H42">
        <v>40</v>
      </c>
      <c r="I42" t="s">
        <v>19</v>
      </c>
      <c r="J42" t="s">
        <v>12</v>
      </c>
      <c r="K42" t="s">
        <v>20</v>
      </c>
      <c r="L42">
        <f t="shared" si="0"/>
        <v>2022</v>
      </c>
      <c r="M42" s="13">
        <f t="shared" si="1"/>
        <v>44682</v>
      </c>
      <c r="N42" t="str">
        <f t="shared" si="2"/>
        <v>Online</v>
      </c>
      <c r="O42" t="str">
        <f>IF(Tabla22[[#This Row],[quantity]]&gt;=umbral_grande, "Grande", IF(Tabla22[[#This Row],[quantity]]&gt;=umbral_mediano,"Mediano", "Pequeño"))</f>
        <v>Pequeño</v>
      </c>
    </row>
    <row r="43" spans="2:15" x14ac:dyDescent="0.25">
      <c r="B43">
        <v>40</v>
      </c>
      <c r="C43" s="1">
        <v>44962</v>
      </c>
      <c r="D43" t="s">
        <v>25</v>
      </c>
      <c r="E43" t="s">
        <v>11</v>
      </c>
      <c r="F43">
        <v>60</v>
      </c>
      <c r="G43">
        <v>5</v>
      </c>
      <c r="H43">
        <v>300</v>
      </c>
      <c r="I43" t="s">
        <v>19</v>
      </c>
      <c r="J43" t="s">
        <v>22</v>
      </c>
      <c r="K43" t="s">
        <v>13</v>
      </c>
      <c r="L43">
        <f t="shared" si="0"/>
        <v>2023</v>
      </c>
      <c r="M43" s="13">
        <f t="shared" si="1"/>
        <v>44958</v>
      </c>
      <c r="N43" t="str">
        <f t="shared" si="2"/>
        <v>Online</v>
      </c>
      <c r="O43" t="str">
        <f>IF(Tabla22[[#This Row],[quantity]]&gt;=umbral_grande, "Grande", IF(Tabla22[[#This Row],[quantity]]&gt;=umbral_mediano,"Mediano", "Pequeño"))</f>
        <v>Pequeño</v>
      </c>
    </row>
    <row r="44" spans="2:15" x14ac:dyDescent="0.25">
      <c r="B44">
        <v>41</v>
      </c>
      <c r="C44" s="1">
        <v>44878</v>
      </c>
      <c r="D44" t="s">
        <v>27</v>
      </c>
      <c r="E44" t="s">
        <v>18</v>
      </c>
      <c r="F44">
        <v>40</v>
      </c>
      <c r="G44">
        <v>11</v>
      </c>
      <c r="H44">
        <v>440</v>
      </c>
      <c r="J44" t="s">
        <v>12</v>
      </c>
      <c r="K44" t="s">
        <v>16</v>
      </c>
      <c r="L44">
        <f t="shared" si="0"/>
        <v>2022</v>
      </c>
      <c r="M44" s="13">
        <f t="shared" si="1"/>
        <v>44866</v>
      </c>
      <c r="N44" t="str">
        <f t="shared" si="2"/>
        <v>Sin registrar</v>
      </c>
      <c r="O44" t="str">
        <f>IF(Tabla22[[#This Row],[quantity]]&gt;=umbral_grande, "Grande", IF(Tabla22[[#This Row],[quantity]]&gt;=umbral_mediano,"Mediano", "Pequeño"))</f>
        <v>Grande</v>
      </c>
    </row>
    <row r="45" spans="2:15" x14ac:dyDescent="0.25">
      <c r="B45">
        <v>42</v>
      </c>
      <c r="C45" s="1">
        <v>44690</v>
      </c>
      <c r="D45" t="s">
        <v>10</v>
      </c>
      <c r="E45" t="s">
        <v>11</v>
      </c>
      <c r="F45">
        <v>20</v>
      </c>
      <c r="G45">
        <v>8</v>
      </c>
      <c r="H45">
        <v>160</v>
      </c>
      <c r="I45" t="s">
        <v>19</v>
      </c>
      <c r="J45" t="s">
        <v>22</v>
      </c>
      <c r="K45" t="s">
        <v>13</v>
      </c>
      <c r="L45">
        <f t="shared" si="0"/>
        <v>2022</v>
      </c>
      <c r="M45" s="13">
        <f t="shared" si="1"/>
        <v>44682</v>
      </c>
      <c r="N45" t="str">
        <f t="shared" si="2"/>
        <v>Online</v>
      </c>
      <c r="O45" t="str">
        <f>IF(Tabla22[[#This Row],[quantity]]&gt;=umbral_grande, "Grande", IF(Tabla22[[#This Row],[quantity]]&gt;=umbral_mediano,"Mediano", "Pequeño"))</f>
        <v>Mediano</v>
      </c>
    </row>
    <row r="46" spans="2:15" x14ac:dyDescent="0.25">
      <c r="B46">
        <v>43</v>
      </c>
      <c r="C46" s="1">
        <v>44707</v>
      </c>
      <c r="D46" t="s">
        <v>14</v>
      </c>
      <c r="E46" t="s">
        <v>11</v>
      </c>
      <c r="F46">
        <v>20</v>
      </c>
      <c r="G46">
        <v>1</v>
      </c>
      <c r="H46">
        <v>20</v>
      </c>
      <c r="I46" t="s">
        <v>15</v>
      </c>
      <c r="J46" t="s">
        <v>12</v>
      </c>
      <c r="K46" t="s">
        <v>13</v>
      </c>
      <c r="L46">
        <f t="shared" si="0"/>
        <v>2022</v>
      </c>
      <c r="M46" s="13">
        <f t="shared" si="1"/>
        <v>44682</v>
      </c>
      <c r="N46" t="str">
        <f t="shared" si="2"/>
        <v>Cash</v>
      </c>
      <c r="O46" t="str">
        <f>IF(Tabla22[[#This Row],[quantity]]&gt;=umbral_grande, "Grande", IF(Tabla22[[#This Row],[quantity]]&gt;=umbral_mediano,"Mediano", "Pequeño"))</f>
        <v>Pequeño</v>
      </c>
    </row>
    <row r="47" spans="2:15" x14ac:dyDescent="0.25">
      <c r="B47">
        <v>44</v>
      </c>
      <c r="C47" s="1">
        <v>44801</v>
      </c>
      <c r="D47" t="s">
        <v>27</v>
      </c>
      <c r="E47" t="s">
        <v>18</v>
      </c>
      <c r="F47">
        <v>40</v>
      </c>
      <c r="G47">
        <v>12</v>
      </c>
      <c r="H47">
        <v>480</v>
      </c>
      <c r="I47" t="s">
        <v>15</v>
      </c>
      <c r="J47" t="s">
        <v>12</v>
      </c>
      <c r="K47" t="s">
        <v>20</v>
      </c>
      <c r="L47">
        <f t="shared" si="0"/>
        <v>2022</v>
      </c>
      <c r="M47" s="13">
        <f t="shared" si="1"/>
        <v>44774</v>
      </c>
      <c r="N47" t="str">
        <f t="shared" si="2"/>
        <v>Cash</v>
      </c>
      <c r="O47" t="str">
        <f>IF(Tabla22[[#This Row],[quantity]]&gt;=umbral_grande, "Grande", IF(Tabla22[[#This Row],[quantity]]&gt;=umbral_mediano,"Mediano", "Pequeño"))</f>
        <v>Grande</v>
      </c>
    </row>
    <row r="48" spans="2:15" x14ac:dyDescent="0.25">
      <c r="B48">
        <v>45</v>
      </c>
      <c r="C48" s="1">
        <v>44788</v>
      </c>
      <c r="D48" t="s">
        <v>17</v>
      </c>
      <c r="E48" t="s">
        <v>18</v>
      </c>
      <c r="F48">
        <v>25</v>
      </c>
      <c r="G48">
        <v>6</v>
      </c>
      <c r="H48">
        <v>150</v>
      </c>
      <c r="I48" t="s">
        <v>15</v>
      </c>
      <c r="J48" t="s">
        <v>22</v>
      </c>
      <c r="K48" t="s">
        <v>16</v>
      </c>
      <c r="L48">
        <f t="shared" si="0"/>
        <v>2022</v>
      </c>
      <c r="M48" s="13">
        <f t="shared" si="1"/>
        <v>44774</v>
      </c>
      <c r="N48" t="str">
        <f t="shared" si="2"/>
        <v>Cash</v>
      </c>
      <c r="O48" t="str">
        <f>IF(Tabla22[[#This Row],[quantity]]&gt;=umbral_grande, "Grande", IF(Tabla22[[#This Row],[quantity]]&gt;=umbral_mediano,"Mediano", "Pequeño"))</f>
        <v>Mediano</v>
      </c>
    </row>
    <row r="49" spans="2:15" x14ac:dyDescent="0.25">
      <c r="B49">
        <v>46</v>
      </c>
      <c r="C49" s="1">
        <v>44688</v>
      </c>
      <c r="D49" t="s">
        <v>14</v>
      </c>
      <c r="E49" t="s">
        <v>11</v>
      </c>
      <c r="F49">
        <v>20</v>
      </c>
      <c r="G49">
        <v>7</v>
      </c>
      <c r="H49">
        <v>140</v>
      </c>
      <c r="I49" t="s">
        <v>15</v>
      </c>
      <c r="J49" t="s">
        <v>12</v>
      </c>
      <c r="K49" t="s">
        <v>20</v>
      </c>
      <c r="L49">
        <f t="shared" si="0"/>
        <v>2022</v>
      </c>
      <c r="M49" s="13">
        <f t="shared" si="1"/>
        <v>44682</v>
      </c>
      <c r="N49" t="str">
        <f t="shared" si="2"/>
        <v>Cash</v>
      </c>
      <c r="O49" t="str">
        <f>IF(Tabla22[[#This Row],[quantity]]&gt;=umbral_grande, "Grande", IF(Tabla22[[#This Row],[quantity]]&gt;=umbral_mediano,"Mediano", "Pequeño"))</f>
        <v>Mediano</v>
      </c>
    </row>
    <row r="50" spans="2:15" x14ac:dyDescent="0.25">
      <c r="B50">
        <v>47</v>
      </c>
      <c r="C50" s="1">
        <v>44752</v>
      </c>
      <c r="D50" t="s">
        <v>25</v>
      </c>
      <c r="E50" t="s">
        <v>11</v>
      </c>
      <c r="F50">
        <v>60</v>
      </c>
      <c r="G50">
        <v>7</v>
      </c>
      <c r="H50">
        <v>420</v>
      </c>
      <c r="J50" t="s">
        <v>12</v>
      </c>
      <c r="K50" t="s">
        <v>23</v>
      </c>
      <c r="L50">
        <f t="shared" si="0"/>
        <v>2022</v>
      </c>
      <c r="M50" s="13">
        <f t="shared" si="1"/>
        <v>44743</v>
      </c>
      <c r="N50" t="str">
        <f t="shared" si="2"/>
        <v>Sin registrar</v>
      </c>
      <c r="O50" t="str">
        <f>IF(Tabla22[[#This Row],[quantity]]&gt;=umbral_grande, "Grande", IF(Tabla22[[#This Row],[quantity]]&gt;=umbral_mediano,"Mediano", "Pequeño"))</f>
        <v>Mediano</v>
      </c>
    </row>
    <row r="51" spans="2:15" x14ac:dyDescent="0.25">
      <c r="B51">
        <v>48</v>
      </c>
      <c r="C51" s="1">
        <v>44980</v>
      </c>
      <c r="D51" t="s">
        <v>25</v>
      </c>
      <c r="E51" t="s">
        <v>11</v>
      </c>
      <c r="F51">
        <v>60</v>
      </c>
      <c r="G51">
        <v>14</v>
      </c>
      <c r="H51">
        <v>840</v>
      </c>
      <c r="I51" t="s">
        <v>19</v>
      </c>
      <c r="J51" t="s">
        <v>12</v>
      </c>
      <c r="K51" t="s">
        <v>16</v>
      </c>
      <c r="L51">
        <f t="shared" si="0"/>
        <v>2023</v>
      </c>
      <c r="M51" s="13">
        <f t="shared" si="1"/>
        <v>44958</v>
      </c>
      <c r="N51" t="str">
        <f t="shared" si="2"/>
        <v>Online</v>
      </c>
      <c r="O51" t="str">
        <f>IF(Tabla22[[#This Row],[quantity]]&gt;=umbral_grande, "Grande", IF(Tabla22[[#This Row],[quantity]]&gt;=umbral_mediano,"Mediano", "Pequeño"))</f>
        <v>Grande</v>
      </c>
    </row>
    <row r="52" spans="2:15" x14ac:dyDescent="0.25">
      <c r="B52">
        <v>49</v>
      </c>
      <c r="C52" s="1">
        <v>44871</v>
      </c>
      <c r="D52" t="s">
        <v>24</v>
      </c>
      <c r="E52" t="s">
        <v>11</v>
      </c>
      <c r="F52">
        <v>50</v>
      </c>
      <c r="G52">
        <v>4</v>
      </c>
      <c r="H52">
        <v>200</v>
      </c>
      <c r="I52" t="s">
        <v>19</v>
      </c>
      <c r="J52" t="s">
        <v>22</v>
      </c>
      <c r="K52" t="s">
        <v>23</v>
      </c>
      <c r="L52">
        <f t="shared" si="0"/>
        <v>2022</v>
      </c>
      <c r="M52" s="13">
        <f t="shared" si="1"/>
        <v>44866</v>
      </c>
      <c r="N52" t="str">
        <f t="shared" si="2"/>
        <v>Online</v>
      </c>
      <c r="O52" t="str">
        <f>IF(Tabla22[[#This Row],[quantity]]&gt;=umbral_grande, "Grande", IF(Tabla22[[#This Row],[quantity]]&gt;=umbral_mediano,"Mediano", "Pequeño"))</f>
        <v>Pequeño</v>
      </c>
    </row>
    <row r="53" spans="2:15" x14ac:dyDescent="0.25">
      <c r="B53">
        <v>50</v>
      </c>
      <c r="C53" s="1">
        <v>44867</v>
      </c>
      <c r="D53" t="s">
        <v>14</v>
      </c>
      <c r="E53" t="s">
        <v>11</v>
      </c>
      <c r="F53">
        <v>20</v>
      </c>
      <c r="G53">
        <v>8</v>
      </c>
      <c r="H53">
        <v>160</v>
      </c>
      <c r="I53" t="s">
        <v>15</v>
      </c>
      <c r="J53" t="s">
        <v>22</v>
      </c>
      <c r="K53" t="s">
        <v>26</v>
      </c>
      <c r="L53">
        <f t="shared" si="0"/>
        <v>2022</v>
      </c>
      <c r="M53" s="13">
        <f t="shared" si="1"/>
        <v>44866</v>
      </c>
      <c r="N53" t="str">
        <f t="shared" si="2"/>
        <v>Cash</v>
      </c>
      <c r="O53" t="str">
        <f>IF(Tabla22[[#This Row],[quantity]]&gt;=umbral_grande, "Grande", IF(Tabla22[[#This Row],[quantity]]&gt;=umbral_mediano,"Mediano", "Pequeño"))</f>
        <v>Mediano</v>
      </c>
    </row>
    <row r="54" spans="2:15" x14ac:dyDescent="0.25">
      <c r="B54">
        <v>51</v>
      </c>
      <c r="C54" s="1">
        <v>44697</v>
      </c>
      <c r="D54" t="s">
        <v>24</v>
      </c>
      <c r="E54" t="s">
        <v>11</v>
      </c>
      <c r="F54">
        <v>50</v>
      </c>
      <c r="G54">
        <v>15</v>
      </c>
      <c r="H54">
        <v>750</v>
      </c>
      <c r="I54" t="s">
        <v>19</v>
      </c>
      <c r="J54" t="s">
        <v>22</v>
      </c>
      <c r="K54" t="s">
        <v>23</v>
      </c>
      <c r="L54">
        <f t="shared" si="0"/>
        <v>2022</v>
      </c>
      <c r="M54" s="13">
        <f t="shared" si="1"/>
        <v>44682</v>
      </c>
      <c r="N54" t="str">
        <f t="shared" si="2"/>
        <v>Online</v>
      </c>
      <c r="O54" t="str">
        <f>IF(Tabla22[[#This Row],[quantity]]&gt;=umbral_grande, "Grande", IF(Tabla22[[#This Row],[quantity]]&gt;=umbral_mediano,"Mediano", "Pequeño"))</f>
        <v>Grande</v>
      </c>
    </row>
    <row r="55" spans="2:15" x14ac:dyDescent="0.25">
      <c r="B55">
        <v>52</v>
      </c>
      <c r="C55" s="1">
        <v>45001</v>
      </c>
      <c r="D55" t="s">
        <v>17</v>
      </c>
      <c r="E55" t="s">
        <v>18</v>
      </c>
      <c r="F55">
        <v>25</v>
      </c>
      <c r="G55">
        <v>12</v>
      </c>
      <c r="H55">
        <v>300</v>
      </c>
      <c r="I55" t="s">
        <v>15</v>
      </c>
      <c r="J55" t="s">
        <v>22</v>
      </c>
      <c r="K55" t="s">
        <v>26</v>
      </c>
      <c r="L55">
        <f t="shared" si="0"/>
        <v>2023</v>
      </c>
      <c r="M55" s="13">
        <f t="shared" si="1"/>
        <v>44986</v>
      </c>
      <c r="N55" t="str">
        <f t="shared" si="2"/>
        <v>Cash</v>
      </c>
      <c r="O55" t="str">
        <f>IF(Tabla22[[#This Row],[quantity]]&gt;=umbral_grande, "Grande", IF(Tabla22[[#This Row],[quantity]]&gt;=umbral_mediano,"Mediano", "Pequeño"))</f>
        <v>Grande</v>
      </c>
    </row>
    <row r="56" spans="2:15" x14ac:dyDescent="0.25">
      <c r="B56">
        <v>53</v>
      </c>
      <c r="C56" s="1">
        <v>44768</v>
      </c>
      <c r="D56" t="s">
        <v>10</v>
      </c>
      <c r="E56" t="s">
        <v>11</v>
      </c>
      <c r="F56">
        <v>20</v>
      </c>
      <c r="G56">
        <v>13</v>
      </c>
      <c r="H56">
        <v>260</v>
      </c>
      <c r="I56" t="s">
        <v>15</v>
      </c>
      <c r="J56" t="s">
        <v>12</v>
      </c>
      <c r="K56" t="s">
        <v>16</v>
      </c>
      <c r="L56">
        <f t="shared" si="0"/>
        <v>2022</v>
      </c>
      <c r="M56" s="13">
        <f t="shared" si="1"/>
        <v>44743</v>
      </c>
      <c r="N56" t="str">
        <f t="shared" si="2"/>
        <v>Cash</v>
      </c>
      <c r="O56" t="str">
        <f>IF(Tabla22[[#This Row],[quantity]]&gt;=umbral_grande, "Grande", IF(Tabla22[[#This Row],[quantity]]&gt;=umbral_mediano,"Mediano", "Pequeño"))</f>
        <v>Grande</v>
      </c>
    </row>
    <row r="57" spans="2:15" x14ac:dyDescent="0.25">
      <c r="B57">
        <v>54</v>
      </c>
      <c r="C57" s="1">
        <v>44923</v>
      </c>
      <c r="D57" t="s">
        <v>21</v>
      </c>
      <c r="E57" t="s">
        <v>11</v>
      </c>
      <c r="F57">
        <v>20</v>
      </c>
      <c r="G57">
        <v>14</v>
      </c>
      <c r="H57">
        <v>280</v>
      </c>
      <c r="I57" t="s">
        <v>19</v>
      </c>
      <c r="J57" t="s">
        <v>22</v>
      </c>
      <c r="K57" t="s">
        <v>23</v>
      </c>
      <c r="L57">
        <f t="shared" si="0"/>
        <v>2022</v>
      </c>
      <c r="M57" s="13">
        <f t="shared" si="1"/>
        <v>44896</v>
      </c>
      <c r="N57" t="str">
        <f t="shared" si="2"/>
        <v>Online</v>
      </c>
      <c r="O57" t="str">
        <f>IF(Tabla22[[#This Row],[quantity]]&gt;=umbral_grande, "Grande", IF(Tabla22[[#This Row],[quantity]]&gt;=umbral_mediano,"Mediano", "Pequeño"))</f>
        <v>Grande</v>
      </c>
    </row>
    <row r="58" spans="2:15" x14ac:dyDescent="0.25">
      <c r="B58">
        <v>55</v>
      </c>
      <c r="C58" s="1">
        <v>44688</v>
      </c>
      <c r="D58" t="s">
        <v>25</v>
      </c>
      <c r="E58" t="s">
        <v>11</v>
      </c>
      <c r="F58">
        <v>60</v>
      </c>
      <c r="G58">
        <v>10</v>
      </c>
      <c r="H58">
        <v>600</v>
      </c>
      <c r="I58" t="s">
        <v>15</v>
      </c>
      <c r="J58" t="s">
        <v>12</v>
      </c>
      <c r="K58" t="s">
        <v>13</v>
      </c>
      <c r="L58">
        <f t="shared" si="0"/>
        <v>2022</v>
      </c>
      <c r="M58" s="13">
        <f t="shared" si="1"/>
        <v>44682</v>
      </c>
      <c r="N58" t="str">
        <f t="shared" si="2"/>
        <v>Cash</v>
      </c>
      <c r="O58" t="str">
        <f>IF(Tabla22[[#This Row],[quantity]]&gt;=umbral_grande, "Grande", IF(Tabla22[[#This Row],[quantity]]&gt;=umbral_mediano,"Mediano", "Pequeño"))</f>
        <v>Mediano</v>
      </c>
    </row>
    <row r="59" spans="2:15" x14ac:dyDescent="0.25">
      <c r="B59">
        <v>56</v>
      </c>
      <c r="C59" s="1">
        <v>44888</v>
      </c>
      <c r="D59" t="s">
        <v>21</v>
      </c>
      <c r="E59" t="s">
        <v>11</v>
      </c>
      <c r="F59">
        <v>20</v>
      </c>
      <c r="G59">
        <v>11</v>
      </c>
      <c r="H59">
        <v>220</v>
      </c>
      <c r="I59" t="s">
        <v>15</v>
      </c>
      <c r="J59" t="s">
        <v>22</v>
      </c>
      <c r="K59" t="s">
        <v>26</v>
      </c>
      <c r="L59">
        <f t="shared" si="0"/>
        <v>2022</v>
      </c>
      <c r="M59" s="13">
        <f t="shared" si="1"/>
        <v>44866</v>
      </c>
      <c r="N59" t="str">
        <f t="shared" si="2"/>
        <v>Cash</v>
      </c>
      <c r="O59" t="str">
        <f>IF(Tabla22[[#This Row],[quantity]]&gt;=umbral_grande, "Grande", IF(Tabla22[[#This Row],[quantity]]&gt;=umbral_mediano,"Mediano", "Pequeño"))</f>
        <v>Grande</v>
      </c>
    </row>
    <row r="60" spans="2:15" x14ac:dyDescent="0.25">
      <c r="B60">
        <v>57</v>
      </c>
      <c r="C60" s="1">
        <v>44777</v>
      </c>
      <c r="D60" t="s">
        <v>21</v>
      </c>
      <c r="E60" t="s">
        <v>11</v>
      </c>
      <c r="F60">
        <v>20</v>
      </c>
      <c r="G60">
        <v>14</v>
      </c>
      <c r="H60">
        <v>280</v>
      </c>
      <c r="I60" t="s">
        <v>19</v>
      </c>
      <c r="J60" t="s">
        <v>22</v>
      </c>
      <c r="K60" t="s">
        <v>23</v>
      </c>
      <c r="L60">
        <f t="shared" si="0"/>
        <v>2022</v>
      </c>
      <c r="M60" s="13">
        <f t="shared" si="1"/>
        <v>44774</v>
      </c>
      <c r="N60" t="str">
        <f t="shared" si="2"/>
        <v>Online</v>
      </c>
      <c r="O60" t="str">
        <f>IF(Tabla22[[#This Row],[quantity]]&gt;=umbral_grande, "Grande", IF(Tabla22[[#This Row],[quantity]]&gt;=umbral_mediano,"Mediano", "Pequeño"))</f>
        <v>Grande</v>
      </c>
    </row>
    <row r="61" spans="2:15" x14ac:dyDescent="0.25">
      <c r="B61">
        <v>58</v>
      </c>
      <c r="C61" s="1">
        <v>44960</v>
      </c>
      <c r="D61" t="s">
        <v>14</v>
      </c>
      <c r="E61" t="s">
        <v>11</v>
      </c>
      <c r="F61">
        <v>20</v>
      </c>
      <c r="G61">
        <v>6</v>
      </c>
      <c r="H61">
        <v>120</v>
      </c>
      <c r="I61" t="s">
        <v>19</v>
      </c>
      <c r="J61" t="s">
        <v>22</v>
      </c>
      <c r="K61" t="s">
        <v>23</v>
      </c>
      <c r="L61">
        <f t="shared" si="0"/>
        <v>2023</v>
      </c>
      <c r="M61" s="13">
        <f t="shared" si="1"/>
        <v>44958</v>
      </c>
      <c r="N61" t="str">
        <f t="shared" si="2"/>
        <v>Online</v>
      </c>
      <c r="O61" t="str">
        <f>IF(Tabla22[[#This Row],[quantity]]&gt;=umbral_grande, "Grande", IF(Tabla22[[#This Row],[quantity]]&gt;=umbral_mediano,"Mediano", "Pequeño"))</f>
        <v>Mediano</v>
      </c>
    </row>
    <row r="62" spans="2:15" x14ac:dyDescent="0.25">
      <c r="B62">
        <v>59</v>
      </c>
      <c r="C62" s="1">
        <v>44743</v>
      </c>
      <c r="D62" t="s">
        <v>14</v>
      </c>
      <c r="E62" t="s">
        <v>11</v>
      </c>
      <c r="F62">
        <v>20</v>
      </c>
      <c r="G62">
        <v>5</v>
      </c>
      <c r="H62">
        <v>100</v>
      </c>
      <c r="I62" t="s">
        <v>15</v>
      </c>
      <c r="J62" t="s">
        <v>12</v>
      </c>
      <c r="K62" t="s">
        <v>23</v>
      </c>
      <c r="L62">
        <f t="shared" si="0"/>
        <v>2022</v>
      </c>
      <c r="M62" s="13">
        <f t="shared" si="1"/>
        <v>44743</v>
      </c>
      <c r="N62" t="str">
        <f t="shared" si="2"/>
        <v>Cash</v>
      </c>
      <c r="O62" t="str">
        <f>IF(Tabla22[[#This Row],[quantity]]&gt;=umbral_grande, "Grande", IF(Tabla22[[#This Row],[quantity]]&gt;=umbral_mediano,"Mediano", "Pequeño"))</f>
        <v>Pequeño</v>
      </c>
    </row>
    <row r="63" spans="2:15" x14ac:dyDescent="0.25">
      <c r="B63">
        <v>60</v>
      </c>
      <c r="C63" s="1">
        <v>44723</v>
      </c>
      <c r="D63" t="s">
        <v>27</v>
      </c>
      <c r="E63" t="s">
        <v>18</v>
      </c>
      <c r="F63">
        <v>40</v>
      </c>
      <c r="G63">
        <v>2</v>
      </c>
      <c r="H63">
        <v>80</v>
      </c>
      <c r="I63" t="s">
        <v>19</v>
      </c>
      <c r="J63" t="s">
        <v>12</v>
      </c>
      <c r="K63" t="s">
        <v>13</v>
      </c>
      <c r="L63">
        <f t="shared" si="0"/>
        <v>2022</v>
      </c>
      <c r="M63" s="13">
        <f t="shared" si="1"/>
        <v>44713</v>
      </c>
      <c r="N63" t="str">
        <f t="shared" si="2"/>
        <v>Online</v>
      </c>
      <c r="O63" t="str">
        <f>IF(Tabla22[[#This Row],[quantity]]&gt;=umbral_grande, "Grande", IF(Tabla22[[#This Row],[quantity]]&gt;=umbral_mediano,"Mediano", "Pequeño"))</f>
        <v>Pequeño</v>
      </c>
    </row>
    <row r="64" spans="2:15" x14ac:dyDescent="0.25">
      <c r="B64">
        <v>61</v>
      </c>
      <c r="C64" s="1">
        <v>44920</v>
      </c>
      <c r="D64" t="s">
        <v>14</v>
      </c>
      <c r="E64" t="s">
        <v>11</v>
      </c>
      <c r="F64">
        <v>20</v>
      </c>
      <c r="G64">
        <v>14</v>
      </c>
      <c r="H64">
        <v>280</v>
      </c>
      <c r="I64" t="s">
        <v>15</v>
      </c>
      <c r="J64" t="s">
        <v>22</v>
      </c>
      <c r="K64" t="s">
        <v>16</v>
      </c>
      <c r="L64">
        <f t="shared" si="0"/>
        <v>2022</v>
      </c>
      <c r="M64" s="13">
        <f t="shared" si="1"/>
        <v>44896</v>
      </c>
      <c r="N64" t="str">
        <f t="shared" si="2"/>
        <v>Cash</v>
      </c>
      <c r="O64" t="str">
        <f>IF(Tabla22[[#This Row],[quantity]]&gt;=umbral_grande, "Grande", IF(Tabla22[[#This Row],[quantity]]&gt;=umbral_mediano,"Mediano", "Pequeño"))</f>
        <v>Grande</v>
      </c>
    </row>
    <row r="65" spans="2:15" x14ac:dyDescent="0.25">
      <c r="B65">
        <v>62</v>
      </c>
      <c r="C65" s="1">
        <v>44851</v>
      </c>
      <c r="D65" t="s">
        <v>17</v>
      </c>
      <c r="E65" t="s">
        <v>18</v>
      </c>
      <c r="F65">
        <v>25</v>
      </c>
      <c r="G65">
        <v>3</v>
      </c>
      <c r="H65">
        <v>75</v>
      </c>
      <c r="I65" t="s">
        <v>15</v>
      </c>
      <c r="J65" t="s">
        <v>12</v>
      </c>
      <c r="K65" t="s">
        <v>16</v>
      </c>
      <c r="L65">
        <f t="shared" si="0"/>
        <v>2022</v>
      </c>
      <c r="M65" s="13">
        <f t="shared" si="1"/>
        <v>44835</v>
      </c>
      <c r="N65" t="str">
        <f t="shared" si="2"/>
        <v>Cash</v>
      </c>
      <c r="O65" t="str">
        <f>IF(Tabla22[[#This Row],[quantity]]&gt;=umbral_grande, "Grande", IF(Tabla22[[#This Row],[quantity]]&gt;=umbral_mediano,"Mediano", "Pequeño"))</f>
        <v>Pequeño</v>
      </c>
    </row>
    <row r="66" spans="2:15" x14ac:dyDescent="0.25">
      <c r="B66">
        <v>63</v>
      </c>
      <c r="C66" s="1">
        <v>44896</v>
      </c>
      <c r="D66" t="s">
        <v>25</v>
      </c>
      <c r="E66" t="s">
        <v>11</v>
      </c>
      <c r="F66">
        <v>60</v>
      </c>
      <c r="G66">
        <v>7</v>
      </c>
      <c r="H66">
        <v>420</v>
      </c>
      <c r="I66" t="s">
        <v>19</v>
      </c>
      <c r="J66" t="s">
        <v>22</v>
      </c>
      <c r="K66" t="s">
        <v>23</v>
      </c>
      <c r="L66">
        <f t="shared" si="0"/>
        <v>2022</v>
      </c>
      <c r="M66" s="13">
        <f t="shared" si="1"/>
        <v>44896</v>
      </c>
      <c r="N66" t="str">
        <f t="shared" si="2"/>
        <v>Online</v>
      </c>
      <c r="O66" t="str">
        <f>IF(Tabla22[[#This Row],[quantity]]&gt;=umbral_grande, "Grande", IF(Tabla22[[#This Row],[quantity]]&gt;=umbral_mediano,"Mediano", "Pequeño"))</f>
        <v>Mediano</v>
      </c>
    </row>
    <row r="67" spans="2:15" x14ac:dyDescent="0.25">
      <c r="B67">
        <v>64</v>
      </c>
      <c r="C67" s="1">
        <v>44904</v>
      </c>
      <c r="D67" t="s">
        <v>27</v>
      </c>
      <c r="E67" t="s">
        <v>18</v>
      </c>
      <c r="F67">
        <v>40</v>
      </c>
      <c r="G67">
        <v>1</v>
      </c>
      <c r="H67">
        <v>40</v>
      </c>
      <c r="I67" t="s">
        <v>15</v>
      </c>
      <c r="J67" t="s">
        <v>12</v>
      </c>
      <c r="K67" t="s">
        <v>23</v>
      </c>
      <c r="L67">
        <f t="shared" si="0"/>
        <v>2022</v>
      </c>
      <c r="M67" s="13">
        <f t="shared" si="1"/>
        <v>44896</v>
      </c>
      <c r="N67" t="str">
        <f t="shared" si="2"/>
        <v>Cash</v>
      </c>
      <c r="O67" t="str">
        <f>IF(Tabla22[[#This Row],[quantity]]&gt;=umbral_grande, "Grande", IF(Tabla22[[#This Row],[quantity]]&gt;=umbral_mediano,"Mediano", "Pequeño"))</f>
        <v>Pequeño</v>
      </c>
    </row>
    <row r="68" spans="2:15" x14ac:dyDescent="0.25">
      <c r="B68">
        <v>65</v>
      </c>
      <c r="C68" s="1">
        <v>44767</v>
      </c>
      <c r="D68" t="s">
        <v>10</v>
      </c>
      <c r="E68" t="s">
        <v>11</v>
      </c>
      <c r="F68">
        <v>20</v>
      </c>
      <c r="G68">
        <v>4</v>
      </c>
      <c r="H68">
        <v>80</v>
      </c>
      <c r="I68" t="s">
        <v>15</v>
      </c>
      <c r="J68" t="s">
        <v>12</v>
      </c>
      <c r="K68" t="s">
        <v>23</v>
      </c>
      <c r="L68">
        <f t="shared" si="0"/>
        <v>2022</v>
      </c>
      <c r="M68" s="13">
        <f t="shared" si="1"/>
        <v>44743</v>
      </c>
      <c r="N68" t="str">
        <f t="shared" si="2"/>
        <v>Cash</v>
      </c>
      <c r="O68" t="str">
        <f>IF(Tabla22[[#This Row],[quantity]]&gt;=umbral_grande, "Grande", IF(Tabla22[[#This Row],[quantity]]&gt;=umbral_mediano,"Mediano", "Pequeño"))</f>
        <v>Pequeño</v>
      </c>
    </row>
    <row r="69" spans="2:15" x14ac:dyDescent="0.25">
      <c r="B69">
        <v>66</v>
      </c>
      <c r="C69" s="1">
        <v>44656</v>
      </c>
      <c r="D69" t="s">
        <v>24</v>
      </c>
      <c r="E69" t="s">
        <v>11</v>
      </c>
      <c r="F69">
        <v>50</v>
      </c>
      <c r="G69">
        <v>2</v>
      </c>
      <c r="H69">
        <v>100</v>
      </c>
      <c r="I69" t="s">
        <v>15</v>
      </c>
      <c r="J69" t="s">
        <v>22</v>
      </c>
      <c r="K69" t="s">
        <v>23</v>
      </c>
      <c r="L69">
        <f t="shared" ref="L69:L132" si="3">YEAR(C69)</f>
        <v>2022</v>
      </c>
      <c r="M69" s="13">
        <f t="shared" ref="M69:M132" si="4">DATE(YEAR(C69),MONTH(C69),1)</f>
        <v>44652</v>
      </c>
      <c r="N69" t="str">
        <f t="shared" ref="N69:N132" si="5">IF(I69 = "", "Sin registrar",I69)</f>
        <v>Cash</v>
      </c>
      <c r="O69" t="str">
        <f>IF(Tabla22[[#This Row],[quantity]]&gt;=umbral_grande, "Grande", IF(Tabla22[[#This Row],[quantity]]&gt;=umbral_mediano,"Mediano", "Pequeño"))</f>
        <v>Pequeño</v>
      </c>
    </row>
    <row r="70" spans="2:15" x14ac:dyDescent="0.25">
      <c r="B70">
        <v>67</v>
      </c>
      <c r="C70" s="1">
        <v>44696</v>
      </c>
      <c r="D70" t="s">
        <v>10</v>
      </c>
      <c r="E70" t="s">
        <v>11</v>
      </c>
      <c r="F70">
        <v>20</v>
      </c>
      <c r="G70">
        <v>9</v>
      </c>
      <c r="H70">
        <v>180</v>
      </c>
      <c r="I70" t="s">
        <v>15</v>
      </c>
      <c r="J70" t="s">
        <v>12</v>
      </c>
      <c r="K70" t="s">
        <v>26</v>
      </c>
      <c r="L70">
        <f t="shared" si="3"/>
        <v>2022</v>
      </c>
      <c r="M70" s="13">
        <f t="shared" si="4"/>
        <v>44682</v>
      </c>
      <c r="N70" t="str">
        <f t="shared" si="5"/>
        <v>Cash</v>
      </c>
      <c r="O70" t="str">
        <f>IF(Tabla22[[#This Row],[quantity]]&gt;=umbral_grande, "Grande", IF(Tabla22[[#This Row],[quantity]]&gt;=umbral_mediano,"Mediano", "Pequeño"))</f>
        <v>Mediano</v>
      </c>
    </row>
    <row r="71" spans="2:15" x14ac:dyDescent="0.25">
      <c r="B71">
        <v>68</v>
      </c>
      <c r="C71" s="1">
        <v>44912</v>
      </c>
      <c r="D71" t="s">
        <v>27</v>
      </c>
      <c r="E71" t="s">
        <v>18</v>
      </c>
      <c r="F71">
        <v>40</v>
      </c>
      <c r="G71">
        <v>2</v>
      </c>
      <c r="H71">
        <v>80</v>
      </c>
      <c r="J71" t="s">
        <v>12</v>
      </c>
      <c r="K71" t="s">
        <v>13</v>
      </c>
      <c r="L71">
        <f t="shared" si="3"/>
        <v>2022</v>
      </c>
      <c r="M71" s="13">
        <f t="shared" si="4"/>
        <v>44896</v>
      </c>
      <c r="N71" t="str">
        <f t="shared" si="5"/>
        <v>Sin registrar</v>
      </c>
      <c r="O71" t="str">
        <f>IF(Tabla22[[#This Row],[quantity]]&gt;=umbral_grande, "Grande", IF(Tabla22[[#This Row],[quantity]]&gt;=umbral_mediano,"Mediano", "Pequeño"))</f>
        <v>Pequeño</v>
      </c>
    </row>
    <row r="72" spans="2:15" x14ac:dyDescent="0.25">
      <c r="B72">
        <v>69</v>
      </c>
      <c r="C72" s="1">
        <v>44936</v>
      </c>
      <c r="D72" t="s">
        <v>14</v>
      </c>
      <c r="E72" t="s">
        <v>11</v>
      </c>
      <c r="F72">
        <v>20</v>
      </c>
      <c r="G72">
        <v>7</v>
      </c>
      <c r="H72">
        <v>140</v>
      </c>
      <c r="I72" t="s">
        <v>15</v>
      </c>
      <c r="J72" t="s">
        <v>12</v>
      </c>
      <c r="K72" t="s">
        <v>26</v>
      </c>
      <c r="L72">
        <f t="shared" si="3"/>
        <v>2023</v>
      </c>
      <c r="M72" s="13">
        <f t="shared" si="4"/>
        <v>44927</v>
      </c>
      <c r="N72" t="str">
        <f t="shared" si="5"/>
        <v>Cash</v>
      </c>
      <c r="O72" t="str">
        <f>IF(Tabla22[[#This Row],[quantity]]&gt;=umbral_grande, "Grande", IF(Tabla22[[#This Row],[quantity]]&gt;=umbral_mediano,"Mediano", "Pequeño"))</f>
        <v>Mediano</v>
      </c>
    </row>
    <row r="73" spans="2:15" x14ac:dyDescent="0.25">
      <c r="B73">
        <v>70</v>
      </c>
      <c r="C73" s="1">
        <v>44690</v>
      </c>
      <c r="D73" t="s">
        <v>27</v>
      </c>
      <c r="E73" t="s">
        <v>18</v>
      </c>
      <c r="F73">
        <v>40</v>
      </c>
      <c r="G73">
        <v>14</v>
      </c>
      <c r="H73">
        <v>560</v>
      </c>
      <c r="J73" t="s">
        <v>22</v>
      </c>
      <c r="K73" t="s">
        <v>23</v>
      </c>
      <c r="L73">
        <f t="shared" si="3"/>
        <v>2022</v>
      </c>
      <c r="M73" s="13">
        <f t="shared" si="4"/>
        <v>44682</v>
      </c>
      <c r="N73" t="str">
        <f t="shared" si="5"/>
        <v>Sin registrar</v>
      </c>
      <c r="O73" t="str">
        <f>IF(Tabla22[[#This Row],[quantity]]&gt;=umbral_grande, "Grande", IF(Tabla22[[#This Row],[quantity]]&gt;=umbral_mediano,"Mediano", "Pequeño"))</f>
        <v>Grande</v>
      </c>
    </row>
    <row r="74" spans="2:15" x14ac:dyDescent="0.25">
      <c r="B74">
        <v>71</v>
      </c>
      <c r="C74" s="1">
        <v>44900</v>
      </c>
      <c r="D74" t="s">
        <v>27</v>
      </c>
      <c r="E74" t="s">
        <v>18</v>
      </c>
      <c r="F74">
        <v>40</v>
      </c>
      <c r="G74">
        <v>6</v>
      </c>
      <c r="H74">
        <v>240</v>
      </c>
      <c r="I74" t="s">
        <v>19</v>
      </c>
      <c r="J74" t="s">
        <v>12</v>
      </c>
      <c r="K74" t="s">
        <v>13</v>
      </c>
      <c r="L74">
        <f t="shared" si="3"/>
        <v>2022</v>
      </c>
      <c r="M74" s="13">
        <f t="shared" si="4"/>
        <v>44896</v>
      </c>
      <c r="N74" t="str">
        <f t="shared" si="5"/>
        <v>Online</v>
      </c>
      <c r="O74" t="str">
        <f>IF(Tabla22[[#This Row],[quantity]]&gt;=umbral_grande, "Grande", IF(Tabla22[[#This Row],[quantity]]&gt;=umbral_mediano,"Mediano", "Pequeño"))</f>
        <v>Mediano</v>
      </c>
    </row>
    <row r="75" spans="2:15" x14ac:dyDescent="0.25">
      <c r="B75">
        <v>72</v>
      </c>
      <c r="C75" s="1">
        <v>44994</v>
      </c>
      <c r="D75" t="s">
        <v>24</v>
      </c>
      <c r="E75" t="s">
        <v>11</v>
      </c>
      <c r="F75">
        <v>50</v>
      </c>
      <c r="G75">
        <v>13</v>
      </c>
      <c r="H75">
        <v>650</v>
      </c>
      <c r="I75" t="s">
        <v>19</v>
      </c>
      <c r="J75" t="s">
        <v>12</v>
      </c>
      <c r="K75" t="s">
        <v>16</v>
      </c>
      <c r="L75">
        <f t="shared" si="3"/>
        <v>2023</v>
      </c>
      <c r="M75" s="13">
        <f t="shared" si="4"/>
        <v>44986</v>
      </c>
      <c r="N75" t="str">
        <f t="shared" si="5"/>
        <v>Online</v>
      </c>
      <c r="O75" t="str">
        <f>IF(Tabla22[[#This Row],[quantity]]&gt;=umbral_grande, "Grande", IF(Tabla22[[#This Row],[quantity]]&gt;=umbral_mediano,"Mediano", "Pequeño"))</f>
        <v>Grande</v>
      </c>
    </row>
    <row r="76" spans="2:15" x14ac:dyDescent="0.25">
      <c r="B76">
        <v>73</v>
      </c>
      <c r="C76" s="1">
        <v>44771</v>
      </c>
      <c r="D76" t="s">
        <v>21</v>
      </c>
      <c r="E76" t="s">
        <v>11</v>
      </c>
      <c r="F76">
        <v>20</v>
      </c>
      <c r="G76">
        <v>5</v>
      </c>
      <c r="H76">
        <v>100</v>
      </c>
      <c r="I76" t="s">
        <v>15</v>
      </c>
      <c r="J76" t="s">
        <v>12</v>
      </c>
      <c r="K76" t="s">
        <v>26</v>
      </c>
      <c r="L76">
        <f t="shared" si="3"/>
        <v>2022</v>
      </c>
      <c r="M76" s="13">
        <f t="shared" si="4"/>
        <v>44743</v>
      </c>
      <c r="N76" t="str">
        <f t="shared" si="5"/>
        <v>Cash</v>
      </c>
      <c r="O76" t="str">
        <f>IF(Tabla22[[#This Row],[quantity]]&gt;=umbral_grande, "Grande", IF(Tabla22[[#This Row],[quantity]]&gt;=umbral_mediano,"Mediano", "Pequeño"))</f>
        <v>Pequeño</v>
      </c>
    </row>
    <row r="77" spans="2:15" x14ac:dyDescent="0.25">
      <c r="B77">
        <v>74</v>
      </c>
      <c r="C77" s="1">
        <v>44788</v>
      </c>
      <c r="D77" t="s">
        <v>27</v>
      </c>
      <c r="E77" t="s">
        <v>18</v>
      </c>
      <c r="F77">
        <v>40</v>
      </c>
      <c r="G77">
        <v>10</v>
      </c>
      <c r="H77">
        <v>400</v>
      </c>
      <c r="I77" t="s">
        <v>19</v>
      </c>
      <c r="J77" t="s">
        <v>22</v>
      </c>
      <c r="K77" t="s">
        <v>20</v>
      </c>
      <c r="L77">
        <f t="shared" si="3"/>
        <v>2022</v>
      </c>
      <c r="M77" s="13">
        <f t="shared" si="4"/>
        <v>44774</v>
      </c>
      <c r="N77" t="str">
        <f t="shared" si="5"/>
        <v>Online</v>
      </c>
      <c r="O77" t="str">
        <f>IF(Tabla22[[#This Row],[quantity]]&gt;=umbral_grande, "Grande", IF(Tabla22[[#This Row],[quantity]]&gt;=umbral_mediano,"Mediano", "Pequeño"))</f>
        <v>Mediano</v>
      </c>
    </row>
    <row r="78" spans="2:15" x14ac:dyDescent="0.25">
      <c r="B78">
        <v>75</v>
      </c>
      <c r="C78" s="1">
        <v>44959</v>
      </c>
      <c r="D78" t="s">
        <v>27</v>
      </c>
      <c r="E78" t="s">
        <v>18</v>
      </c>
      <c r="F78">
        <v>40</v>
      </c>
      <c r="G78">
        <v>6</v>
      </c>
      <c r="H78">
        <v>240</v>
      </c>
      <c r="I78" t="s">
        <v>19</v>
      </c>
      <c r="J78" t="s">
        <v>22</v>
      </c>
      <c r="K78" t="s">
        <v>16</v>
      </c>
      <c r="L78">
        <f t="shared" si="3"/>
        <v>2023</v>
      </c>
      <c r="M78" s="13">
        <f t="shared" si="4"/>
        <v>44958</v>
      </c>
      <c r="N78" t="str">
        <f t="shared" si="5"/>
        <v>Online</v>
      </c>
      <c r="O78" t="str">
        <f>IF(Tabla22[[#This Row],[quantity]]&gt;=umbral_grande, "Grande", IF(Tabla22[[#This Row],[quantity]]&gt;=umbral_mediano,"Mediano", "Pequeño"))</f>
        <v>Mediano</v>
      </c>
    </row>
    <row r="79" spans="2:15" x14ac:dyDescent="0.25">
      <c r="B79">
        <v>76</v>
      </c>
      <c r="C79" s="1">
        <v>44790</v>
      </c>
      <c r="D79" t="s">
        <v>14</v>
      </c>
      <c r="E79" t="s">
        <v>11</v>
      </c>
      <c r="F79">
        <v>20</v>
      </c>
      <c r="G79">
        <v>9</v>
      </c>
      <c r="H79">
        <v>180</v>
      </c>
      <c r="I79" t="s">
        <v>19</v>
      </c>
      <c r="J79" t="s">
        <v>12</v>
      </c>
      <c r="K79" t="s">
        <v>23</v>
      </c>
      <c r="L79">
        <f t="shared" si="3"/>
        <v>2022</v>
      </c>
      <c r="M79" s="13">
        <f t="shared" si="4"/>
        <v>44774</v>
      </c>
      <c r="N79" t="str">
        <f t="shared" si="5"/>
        <v>Online</v>
      </c>
      <c r="O79" t="str">
        <f>IF(Tabla22[[#This Row],[quantity]]&gt;=umbral_grande, "Grande", IF(Tabla22[[#This Row],[quantity]]&gt;=umbral_mediano,"Mediano", "Pequeño"))</f>
        <v>Mediano</v>
      </c>
    </row>
    <row r="80" spans="2:15" x14ac:dyDescent="0.25">
      <c r="B80">
        <v>77</v>
      </c>
      <c r="C80" s="1">
        <v>44961</v>
      </c>
      <c r="D80" t="s">
        <v>17</v>
      </c>
      <c r="E80" t="s">
        <v>18</v>
      </c>
      <c r="F80">
        <v>25</v>
      </c>
      <c r="G80">
        <v>12</v>
      </c>
      <c r="H80">
        <v>300</v>
      </c>
      <c r="I80" t="s">
        <v>15</v>
      </c>
      <c r="J80" t="s">
        <v>22</v>
      </c>
      <c r="K80" t="s">
        <v>26</v>
      </c>
      <c r="L80">
        <f t="shared" si="3"/>
        <v>2023</v>
      </c>
      <c r="M80" s="13">
        <f t="shared" si="4"/>
        <v>44958</v>
      </c>
      <c r="N80" t="str">
        <f t="shared" si="5"/>
        <v>Cash</v>
      </c>
      <c r="O80" t="str">
        <f>IF(Tabla22[[#This Row],[quantity]]&gt;=umbral_grande, "Grande", IF(Tabla22[[#This Row],[quantity]]&gt;=umbral_mediano,"Mediano", "Pequeño"))</f>
        <v>Grande</v>
      </c>
    </row>
    <row r="81" spans="2:15" x14ac:dyDescent="0.25">
      <c r="B81">
        <v>78</v>
      </c>
      <c r="C81" s="1">
        <v>44835</v>
      </c>
      <c r="D81" t="s">
        <v>14</v>
      </c>
      <c r="E81" t="s">
        <v>11</v>
      </c>
      <c r="F81">
        <v>20</v>
      </c>
      <c r="G81">
        <v>4</v>
      </c>
      <c r="H81">
        <v>80</v>
      </c>
      <c r="I81" t="s">
        <v>15</v>
      </c>
      <c r="J81" t="s">
        <v>22</v>
      </c>
      <c r="K81" t="s">
        <v>20</v>
      </c>
      <c r="L81">
        <f t="shared" si="3"/>
        <v>2022</v>
      </c>
      <c r="M81" s="13">
        <f t="shared" si="4"/>
        <v>44835</v>
      </c>
      <c r="N81" t="str">
        <f t="shared" si="5"/>
        <v>Cash</v>
      </c>
      <c r="O81" t="str">
        <f>IF(Tabla22[[#This Row],[quantity]]&gt;=umbral_grande, "Grande", IF(Tabla22[[#This Row],[quantity]]&gt;=umbral_mediano,"Mediano", "Pequeño"))</f>
        <v>Pequeño</v>
      </c>
    </row>
    <row r="82" spans="2:15" x14ac:dyDescent="0.25">
      <c r="B82">
        <v>79</v>
      </c>
      <c r="C82" s="1">
        <v>44870</v>
      </c>
      <c r="D82" t="s">
        <v>21</v>
      </c>
      <c r="E82" t="s">
        <v>11</v>
      </c>
      <c r="F82">
        <v>20</v>
      </c>
      <c r="G82">
        <v>6</v>
      </c>
      <c r="H82">
        <v>120</v>
      </c>
      <c r="I82" t="s">
        <v>19</v>
      </c>
      <c r="J82" t="s">
        <v>12</v>
      </c>
      <c r="K82" t="s">
        <v>13</v>
      </c>
      <c r="L82">
        <f t="shared" si="3"/>
        <v>2022</v>
      </c>
      <c r="M82" s="13">
        <f t="shared" si="4"/>
        <v>44866</v>
      </c>
      <c r="N82" t="str">
        <f t="shared" si="5"/>
        <v>Online</v>
      </c>
      <c r="O82" t="str">
        <f>IF(Tabla22[[#This Row],[quantity]]&gt;=umbral_grande, "Grande", IF(Tabla22[[#This Row],[quantity]]&gt;=umbral_mediano,"Mediano", "Pequeño"))</f>
        <v>Mediano</v>
      </c>
    </row>
    <row r="83" spans="2:15" x14ac:dyDescent="0.25">
      <c r="B83">
        <v>80</v>
      </c>
      <c r="C83" s="1">
        <v>44705</v>
      </c>
      <c r="D83" t="s">
        <v>24</v>
      </c>
      <c r="E83" t="s">
        <v>11</v>
      </c>
      <c r="F83">
        <v>50</v>
      </c>
      <c r="G83">
        <v>13</v>
      </c>
      <c r="H83">
        <v>650</v>
      </c>
      <c r="I83" t="s">
        <v>15</v>
      </c>
      <c r="J83" t="s">
        <v>12</v>
      </c>
      <c r="K83" t="s">
        <v>20</v>
      </c>
      <c r="L83">
        <f t="shared" si="3"/>
        <v>2022</v>
      </c>
      <c r="M83" s="13">
        <f t="shared" si="4"/>
        <v>44682</v>
      </c>
      <c r="N83" t="str">
        <f t="shared" si="5"/>
        <v>Cash</v>
      </c>
      <c r="O83" t="str">
        <f>IF(Tabla22[[#This Row],[quantity]]&gt;=umbral_grande, "Grande", IF(Tabla22[[#This Row],[quantity]]&gt;=umbral_mediano,"Mediano", "Pequeño"))</f>
        <v>Grande</v>
      </c>
    </row>
    <row r="84" spans="2:15" x14ac:dyDescent="0.25">
      <c r="B84">
        <v>81</v>
      </c>
      <c r="C84" s="1">
        <v>44884</v>
      </c>
      <c r="D84" t="s">
        <v>24</v>
      </c>
      <c r="E84" t="s">
        <v>11</v>
      </c>
      <c r="F84">
        <v>50</v>
      </c>
      <c r="G84">
        <v>12</v>
      </c>
      <c r="H84">
        <v>600</v>
      </c>
      <c r="I84" t="s">
        <v>19</v>
      </c>
      <c r="J84" t="s">
        <v>22</v>
      </c>
      <c r="K84" t="s">
        <v>13</v>
      </c>
      <c r="L84">
        <f t="shared" si="3"/>
        <v>2022</v>
      </c>
      <c r="M84" s="13">
        <f t="shared" si="4"/>
        <v>44866</v>
      </c>
      <c r="N84" t="str">
        <f t="shared" si="5"/>
        <v>Online</v>
      </c>
      <c r="O84" t="str">
        <f>IF(Tabla22[[#This Row],[quantity]]&gt;=umbral_grande, "Grande", IF(Tabla22[[#This Row],[quantity]]&gt;=umbral_mediano,"Mediano", "Pequeño"))</f>
        <v>Grande</v>
      </c>
    </row>
    <row r="85" spans="2:15" x14ac:dyDescent="0.25">
      <c r="B85">
        <v>82</v>
      </c>
      <c r="C85" s="1">
        <v>44759</v>
      </c>
      <c r="D85" t="s">
        <v>24</v>
      </c>
      <c r="E85" t="s">
        <v>11</v>
      </c>
      <c r="F85">
        <v>50</v>
      </c>
      <c r="G85">
        <v>3</v>
      </c>
      <c r="H85">
        <v>150</v>
      </c>
      <c r="I85" t="s">
        <v>19</v>
      </c>
      <c r="J85" t="s">
        <v>22</v>
      </c>
      <c r="K85" t="s">
        <v>20</v>
      </c>
      <c r="L85">
        <f t="shared" si="3"/>
        <v>2022</v>
      </c>
      <c r="M85" s="13">
        <f t="shared" si="4"/>
        <v>44743</v>
      </c>
      <c r="N85" t="str">
        <f t="shared" si="5"/>
        <v>Online</v>
      </c>
      <c r="O85" t="str">
        <f>IF(Tabla22[[#This Row],[quantity]]&gt;=umbral_grande, "Grande", IF(Tabla22[[#This Row],[quantity]]&gt;=umbral_mediano,"Mediano", "Pequeño"))</f>
        <v>Pequeño</v>
      </c>
    </row>
    <row r="86" spans="2:15" x14ac:dyDescent="0.25">
      <c r="B86">
        <v>83</v>
      </c>
      <c r="C86" s="1">
        <v>44878</v>
      </c>
      <c r="D86" t="s">
        <v>24</v>
      </c>
      <c r="E86" t="s">
        <v>11</v>
      </c>
      <c r="F86">
        <v>50</v>
      </c>
      <c r="G86">
        <v>11</v>
      </c>
      <c r="H86">
        <v>550</v>
      </c>
      <c r="J86" t="s">
        <v>12</v>
      </c>
      <c r="K86" t="s">
        <v>20</v>
      </c>
      <c r="L86">
        <f t="shared" si="3"/>
        <v>2022</v>
      </c>
      <c r="M86" s="13">
        <f t="shared" si="4"/>
        <v>44866</v>
      </c>
      <c r="N86" t="str">
        <f t="shared" si="5"/>
        <v>Sin registrar</v>
      </c>
      <c r="O86" t="str">
        <f>IF(Tabla22[[#This Row],[quantity]]&gt;=umbral_grande, "Grande", IF(Tabla22[[#This Row],[quantity]]&gt;=umbral_mediano,"Mediano", "Pequeño"))</f>
        <v>Grande</v>
      </c>
    </row>
    <row r="87" spans="2:15" x14ac:dyDescent="0.25">
      <c r="B87">
        <v>84</v>
      </c>
      <c r="C87" s="1">
        <v>44988</v>
      </c>
      <c r="D87" t="s">
        <v>21</v>
      </c>
      <c r="E87" t="s">
        <v>11</v>
      </c>
      <c r="F87">
        <v>20</v>
      </c>
      <c r="G87">
        <v>13</v>
      </c>
      <c r="H87">
        <v>260</v>
      </c>
      <c r="I87" t="s">
        <v>15</v>
      </c>
      <c r="J87" t="s">
        <v>12</v>
      </c>
      <c r="K87" t="s">
        <v>26</v>
      </c>
      <c r="L87">
        <f t="shared" si="3"/>
        <v>2023</v>
      </c>
      <c r="M87" s="13">
        <f t="shared" si="4"/>
        <v>44986</v>
      </c>
      <c r="N87" t="str">
        <f t="shared" si="5"/>
        <v>Cash</v>
      </c>
      <c r="O87" t="str">
        <f>IF(Tabla22[[#This Row],[quantity]]&gt;=umbral_grande, "Grande", IF(Tabla22[[#This Row],[quantity]]&gt;=umbral_mediano,"Mediano", "Pequeño"))</f>
        <v>Grande</v>
      </c>
    </row>
    <row r="88" spans="2:15" x14ac:dyDescent="0.25">
      <c r="B88">
        <v>85</v>
      </c>
      <c r="C88" s="1">
        <v>44792</v>
      </c>
      <c r="D88" t="s">
        <v>10</v>
      </c>
      <c r="E88" t="s">
        <v>11</v>
      </c>
      <c r="F88">
        <v>20</v>
      </c>
      <c r="G88">
        <v>3</v>
      </c>
      <c r="H88">
        <v>60</v>
      </c>
      <c r="I88" t="s">
        <v>19</v>
      </c>
      <c r="J88" t="s">
        <v>22</v>
      </c>
      <c r="K88" t="s">
        <v>13</v>
      </c>
      <c r="L88">
        <f t="shared" si="3"/>
        <v>2022</v>
      </c>
      <c r="M88" s="13">
        <f t="shared" si="4"/>
        <v>44774</v>
      </c>
      <c r="N88" t="str">
        <f t="shared" si="5"/>
        <v>Online</v>
      </c>
      <c r="O88" t="str">
        <f>IF(Tabla22[[#This Row],[quantity]]&gt;=umbral_grande, "Grande", IF(Tabla22[[#This Row],[quantity]]&gt;=umbral_mediano,"Mediano", "Pequeño"))</f>
        <v>Pequeño</v>
      </c>
    </row>
    <row r="89" spans="2:15" x14ac:dyDescent="0.25">
      <c r="B89">
        <v>86</v>
      </c>
      <c r="C89" s="1">
        <v>44994</v>
      </c>
      <c r="D89" t="s">
        <v>10</v>
      </c>
      <c r="E89" t="s">
        <v>11</v>
      </c>
      <c r="F89">
        <v>20</v>
      </c>
      <c r="G89">
        <v>15</v>
      </c>
      <c r="H89">
        <v>300</v>
      </c>
      <c r="I89" t="s">
        <v>15</v>
      </c>
      <c r="J89" t="s">
        <v>12</v>
      </c>
      <c r="K89" t="s">
        <v>23</v>
      </c>
      <c r="L89">
        <f t="shared" si="3"/>
        <v>2023</v>
      </c>
      <c r="M89" s="13">
        <f t="shared" si="4"/>
        <v>44986</v>
      </c>
      <c r="N89" t="str">
        <f t="shared" si="5"/>
        <v>Cash</v>
      </c>
      <c r="O89" t="str">
        <f>IF(Tabla22[[#This Row],[quantity]]&gt;=umbral_grande, "Grande", IF(Tabla22[[#This Row],[quantity]]&gt;=umbral_mediano,"Mediano", "Pequeño"))</f>
        <v>Grande</v>
      </c>
    </row>
    <row r="90" spans="2:15" x14ac:dyDescent="0.25">
      <c r="B90">
        <v>87</v>
      </c>
      <c r="C90" s="1">
        <v>44710</v>
      </c>
      <c r="D90" t="s">
        <v>10</v>
      </c>
      <c r="E90" t="s">
        <v>11</v>
      </c>
      <c r="F90">
        <v>20</v>
      </c>
      <c r="G90">
        <v>8</v>
      </c>
      <c r="H90">
        <v>160</v>
      </c>
      <c r="I90" t="s">
        <v>15</v>
      </c>
      <c r="J90" t="s">
        <v>12</v>
      </c>
      <c r="K90" t="s">
        <v>13</v>
      </c>
      <c r="L90">
        <f t="shared" si="3"/>
        <v>2022</v>
      </c>
      <c r="M90" s="13">
        <f t="shared" si="4"/>
        <v>44682</v>
      </c>
      <c r="N90" t="str">
        <f t="shared" si="5"/>
        <v>Cash</v>
      </c>
      <c r="O90" t="str">
        <f>IF(Tabla22[[#This Row],[quantity]]&gt;=umbral_grande, "Grande", IF(Tabla22[[#This Row],[quantity]]&gt;=umbral_mediano,"Mediano", "Pequeño"))</f>
        <v>Mediano</v>
      </c>
    </row>
    <row r="91" spans="2:15" x14ac:dyDescent="0.25">
      <c r="B91">
        <v>88</v>
      </c>
      <c r="C91" s="1">
        <v>44749</v>
      </c>
      <c r="D91" t="s">
        <v>27</v>
      </c>
      <c r="E91" t="s">
        <v>18</v>
      </c>
      <c r="F91">
        <v>40</v>
      </c>
      <c r="G91">
        <v>10</v>
      </c>
      <c r="H91">
        <v>400</v>
      </c>
      <c r="I91" t="s">
        <v>15</v>
      </c>
      <c r="J91" t="s">
        <v>12</v>
      </c>
      <c r="K91" t="s">
        <v>20</v>
      </c>
      <c r="L91">
        <f t="shared" si="3"/>
        <v>2022</v>
      </c>
      <c r="M91" s="13">
        <f t="shared" si="4"/>
        <v>44743</v>
      </c>
      <c r="N91" t="str">
        <f t="shared" si="5"/>
        <v>Cash</v>
      </c>
      <c r="O91" t="str">
        <f>IF(Tabla22[[#This Row],[quantity]]&gt;=umbral_grande, "Grande", IF(Tabla22[[#This Row],[quantity]]&gt;=umbral_mediano,"Mediano", "Pequeño"))</f>
        <v>Mediano</v>
      </c>
    </row>
    <row r="92" spans="2:15" x14ac:dyDescent="0.25">
      <c r="B92">
        <v>89</v>
      </c>
      <c r="C92" s="1">
        <v>44918</v>
      </c>
      <c r="D92" t="s">
        <v>10</v>
      </c>
      <c r="E92" t="s">
        <v>11</v>
      </c>
      <c r="F92">
        <v>20</v>
      </c>
      <c r="G92">
        <v>14</v>
      </c>
      <c r="H92">
        <v>280</v>
      </c>
      <c r="I92" t="s">
        <v>15</v>
      </c>
      <c r="J92" t="s">
        <v>12</v>
      </c>
      <c r="K92" t="s">
        <v>20</v>
      </c>
      <c r="L92">
        <f t="shared" si="3"/>
        <v>2022</v>
      </c>
      <c r="M92" s="13">
        <f t="shared" si="4"/>
        <v>44896</v>
      </c>
      <c r="N92" t="str">
        <f t="shared" si="5"/>
        <v>Cash</v>
      </c>
      <c r="O92" t="str">
        <f>IF(Tabla22[[#This Row],[quantity]]&gt;=umbral_grande, "Grande", IF(Tabla22[[#This Row],[quantity]]&gt;=umbral_mediano,"Mediano", "Pequeño"))</f>
        <v>Grande</v>
      </c>
    </row>
    <row r="93" spans="2:15" x14ac:dyDescent="0.25">
      <c r="B93">
        <v>90</v>
      </c>
      <c r="C93" s="1">
        <v>44863</v>
      </c>
      <c r="D93" t="s">
        <v>14</v>
      </c>
      <c r="E93" t="s">
        <v>11</v>
      </c>
      <c r="F93">
        <v>20</v>
      </c>
      <c r="G93">
        <v>15</v>
      </c>
      <c r="H93">
        <v>300</v>
      </c>
      <c r="I93" t="s">
        <v>19</v>
      </c>
      <c r="J93" t="s">
        <v>12</v>
      </c>
      <c r="K93" t="s">
        <v>13</v>
      </c>
      <c r="L93">
        <f t="shared" si="3"/>
        <v>2022</v>
      </c>
      <c r="M93" s="13">
        <f t="shared" si="4"/>
        <v>44835</v>
      </c>
      <c r="N93" t="str">
        <f t="shared" si="5"/>
        <v>Online</v>
      </c>
      <c r="O93" t="str">
        <f>IF(Tabla22[[#This Row],[quantity]]&gt;=umbral_grande, "Grande", IF(Tabla22[[#This Row],[quantity]]&gt;=umbral_mediano,"Mediano", "Pequeño"))</f>
        <v>Grande</v>
      </c>
    </row>
    <row r="94" spans="2:15" x14ac:dyDescent="0.25">
      <c r="B94">
        <v>91</v>
      </c>
      <c r="C94" s="1">
        <v>45007</v>
      </c>
      <c r="D94" t="s">
        <v>27</v>
      </c>
      <c r="E94" t="s">
        <v>18</v>
      </c>
      <c r="F94">
        <v>40</v>
      </c>
      <c r="G94">
        <v>6</v>
      </c>
      <c r="H94">
        <v>240</v>
      </c>
      <c r="J94" t="s">
        <v>22</v>
      </c>
      <c r="K94" t="s">
        <v>20</v>
      </c>
      <c r="L94">
        <f t="shared" si="3"/>
        <v>2023</v>
      </c>
      <c r="M94" s="13">
        <f t="shared" si="4"/>
        <v>44986</v>
      </c>
      <c r="N94" t="str">
        <f t="shared" si="5"/>
        <v>Sin registrar</v>
      </c>
      <c r="O94" t="str">
        <f>IF(Tabla22[[#This Row],[quantity]]&gt;=umbral_grande, "Grande", IF(Tabla22[[#This Row],[quantity]]&gt;=umbral_mediano,"Mediano", "Pequeño"))</f>
        <v>Mediano</v>
      </c>
    </row>
    <row r="95" spans="2:15" x14ac:dyDescent="0.25">
      <c r="B95">
        <v>92</v>
      </c>
      <c r="C95" s="1">
        <v>44694</v>
      </c>
      <c r="D95" t="s">
        <v>10</v>
      </c>
      <c r="E95" t="s">
        <v>11</v>
      </c>
      <c r="F95">
        <v>20</v>
      </c>
      <c r="G95">
        <v>15</v>
      </c>
      <c r="H95">
        <v>300</v>
      </c>
      <c r="I95" t="s">
        <v>15</v>
      </c>
      <c r="J95" t="s">
        <v>12</v>
      </c>
      <c r="K95" t="s">
        <v>16</v>
      </c>
      <c r="L95">
        <f t="shared" si="3"/>
        <v>2022</v>
      </c>
      <c r="M95" s="13">
        <f t="shared" si="4"/>
        <v>44682</v>
      </c>
      <c r="N95" t="str">
        <f t="shared" si="5"/>
        <v>Cash</v>
      </c>
      <c r="O95" t="str">
        <f>IF(Tabla22[[#This Row],[quantity]]&gt;=umbral_grande, "Grande", IF(Tabla22[[#This Row],[quantity]]&gt;=umbral_mediano,"Mediano", "Pequeño"))</f>
        <v>Grande</v>
      </c>
    </row>
    <row r="96" spans="2:15" x14ac:dyDescent="0.25">
      <c r="B96">
        <v>93</v>
      </c>
      <c r="C96" s="1">
        <v>44745</v>
      </c>
      <c r="D96" t="s">
        <v>27</v>
      </c>
      <c r="E96" t="s">
        <v>18</v>
      </c>
      <c r="F96">
        <v>40</v>
      </c>
      <c r="G96">
        <v>2</v>
      </c>
      <c r="H96">
        <v>80</v>
      </c>
      <c r="I96" t="s">
        <v>19</v>
      </c>
      <c r="J96" t="s">
        <v>22</v>
      </c>
      <c r="K96" t="s">
        <v>26</v>
      </c>
      <c r="L96">
        <f t="shared" si="3"/>
        <v>2022</v>
      </c>
      <c r="M96" s="13">
        <f t="shared" si="4"/>
        <v>44743</v>
      </c>
      <c r="N96" t="str">
        <f t="shared" si="5"/>
        <v>Online</v>
      </c>
      <c r="O96" t="str">
        <f>IF(Tabla22[[#This Row],[quantity]]&gt;=umbral_grande, "Grande", IF(Tabla22[[#This Row],[quantity]]&gt;=umbral_mediano,"Mediano", "Pequeño"))</f>
        <v>Pequeño</v>
      </c>
    </row>
    <row r="97" spans="2:15" x14ac:dyDescent="0.25">
      <c r="B97">
        <v>94</v>
      </c>
      <c r="C97" s="1">
        <v>44818</v>
      </c>
      <c r="D97" t="s">
        <v>10</v>
      </c>
      <c r="E97" t="s">
        <v>11</v>
      </c>
      <c r="F97">
        <v>20</v>
      </c>
      <c r="G97">
        <v>15</v>
      </c>
      <c r="H97">
        <v>300</v>
      </c>
      <c r="J97" t="s">
        <v>22</v>
      </c>
      <c r="K97" t="s">
        <v>13</v>
      </c>
      <c r="L97">
        <f t="shared" si="3"/>
        <v>2022</v>
      </c>
      <c r="M97" s="13">
        <f t="shared" si="4"/>
        <v>44805</v>
      </c>
      <c r="N97" t="str">
        <f t="shared" si="5"/>
        <v>Sin registrar</v>
      </c>
      <c r="O97" t="str">
        <f>IF(Tabla22[[#This Row],[quantity]]&gt;=umbral_grande, "Grande", IF(Tabla22[[#This Row],[quantity]]&gt;=umbral_mediano,"Mediano", "Pequeño"))</f>
        <v>Grande</v>
      </c>
    </row>
    <row r="98" spans="2:15" x14ac:dyDescent="0.25">
      <c r="B98">
        <v>95</v>
      </c>
      <c r="C98" s="1">
        <v>44693</v>
      </c>
      <c r="D98" t="s">
        <v>17</v>
      </c>
      <c r="E98" t="s">
        <v>18</v>
      </c>
      <c r="F98">
        <v>25</v>
      </c>
      <c r="G98">
        <v>8</v>
      </c>
      <c r="H98">
        <v>200</v>
      </c>
      <c r="I98" t="s">
        <v>19</v>
      </c>
      <c r="J98" t="s">
        <v>12</v>
      </c>
      <c r="K98" t="s">
        <v>13</v>
      </c>
      <c r="L98">
        <f t="shared" si="3"/>
        <v>2022</v>
      </c>
      <c r="M98" s="13">
        <f t="shared" si="4"/>
        <v>44682</v>
      </c>
      <c r="N98" t="str">
        <f t="shared" si="5"/>
        <v>Online</v>
      </c>
      <c r="O98" t="str">
        <f>IF(Tabla22[[#This Row],[quantity]]&gt;=umbral_grande, "Grande", IF(Tabla22[[#This Row],[quantity]]&gt;=umbral_mediano,"Mediano", "Pequeño"))</f>
        <v>Mediano</v>
      </c>
    </row>
    <row r="99" spans="2:15" x14ac:dyDescent="0.25">
      <c r="B99">
        <v>96</v>
      </c>
      <c r="C99" s="1">
        <v>44795</v>
      </c>
      <c r="D99" t="s">
        <v>25</v>
      </c>
      <c r="E99" t="s">
        <v>11</v>
      </c>
      <c r="F99">
        <v>60</v>
      </c>
      <c r="G99">
        <v>15</v>
      </c>
      <c r="H99">
        <v>900</v>
      </c>
      <c r="J99" t="s">
        <v>12</v>
      </c>
      <c r="K99" t="s">
        <v>23</v>
      </c>
      <c r="L99">
        <f t="shared" si="3"/>
        <v>2022</v>
      </c>
      <c r="M99" s="13">
        <f t="shared" si="4"/>
        <v>44774</v>
      </c>
      <c r="N99" t="str">
        <f t="shared" si="5"/>
        <v>Sin registrar</v>
      </c>
      <c r="O99" t="str">
        <f>IF(Tabla22[[#This Row],[quantity]]&gt;=umbral_grande, "Grande", IF(Tabla22[[#This Row],[quantity]]&gt;=umbral_mediano,"Mediano", "Pequeño"))</f>
        <v>Grande</v>
      </c>
    </row>
    <row r="100" spans="2:15" x14ac:dyDescent="0.25">
      <c r="B100">
        <v>97</v>
      </c>
      <c r="C100" s="1">
        <v>45014</v>
      </c>
      <c r="D100" t="s">
        <v>27</v>
      </c>
      <c r="E100" t="s">
        <v>18</v>
      </c>
      <c r="F100">
        <v>40</v>
      </c>
      <c r="G100">
        <v>13</v>
      </c>
      <c r="H100">
        <v>520</v>
      </c>
      <c r="I100" t="s">
        <v>19</v>
      </c>
      <c r="J100" t="s">
        <v>12</v>
      </c>
      <c r="K100" t="s">
        <v>20</v>
      </c>
      <c r="L100">
        <f t="shared" si="3"/>
        <v>2023</v>
      </c>
      <c r="M100" s="13">
        <f t="shared" si="4"/>
        <v>44986</v>
      </c>
      <c r="N100" t="str">
        <f t="shared" si="5"/>
        <v>Online</v>
      </c>
      <c r="O100" t="str">
        <f>IF(Tabla22[[#This Row],[quantity]]&gt;=umbral_grande, "Grande", IF(Tabla22[[#This Row],[quantity]]&gt;=umbral_mediano,"Mediano", "Pequeño"))</f>
        <v>Grande</v>
      </c>
    </row>
    <row r="101" spans="2:15" x14ac:dyDescent="0.25">
      <c r="B101">
        <v>98</v>
      </c>
      <c r="C101" s="1">
        <v>44919</v>
      </c>
      <c r="D101" t="s">
        <v>14</v>
      </c>
      <c r="E101" t="s">
        <v>11</v>
      </c>
      <c r="F101">
        <v>20</v>
      </c>
      <c r="G101">
        <v>1</v>
      </c>
      <c r="H101">
        <v>20</v>
      </c>
      <c r="I101" t="s">
        <v>19</v>
      </c>
      <c r="J101" t="s">
        <v>12</v>
      </c>
      <c r="K101" t="s">
        <v>23</v>
      </c>
      <c r="L101">
        <f t="shared" si="3"/>
        <v>2022</v>
      </c>
      <c r="M101" s="13">
        <f t="shared" si="4"/>
        <v>44896</v>
      </c>
      <c r="N101" t="str">
        <f t="shared" si="5"/>
        <v>Online</v>
      </c>
      <c r="O101" t="str">
        <f>IF(Tabla22[[#This Row],[quantity]]&gt;=umbral_grande, "Grande", IF(Tabla22[[#This Row],[quantity]]&gt;=umbral_mediano,"Mediano", "Pequeño"))</f>
        <v>Pequeño</v>
      </c>
    </row>
    <row r="102" spans="2:15" x14ac:dyDescent="0.25">
      <c r="B102">
        <v>99</v>
      </c>
      <c r="C102" s="1">
        <v>44815</v>
      </c>
      <c r="D102" t="s">
        <v>17</v>
      </c>
      <c r="E102" t="s">
        <v>18</v>
      </c>
      <c r="F102">
        <v>25</v>
      </c>
      <c r="G102">
        <v>3</v>
      </c>
      <c r="H102">
        <v>75</v>
      </c>
      <c r="I102" t="s">
        <v>15</v>
      </c>
      <c r="J102" t="s">
        <v>12</v>
      </c>
      <c r="K102" t="s">
        <v>20</v>
      </c>
      <c r="L102">
        <f t="shared" si="3"/>
        <v>2022</v>
      </c>
      <c r="M102" s="13">
        <f t="shared" si="4"/>
        <v>44805</v>
      </c>
      <c r="N102" t="str">
        <f t="shared" si="5"/>
        <v>Cash</v>
      </c>
      <c r="O102" t="str">
        <f>IF(Tabla22[[#This Row],[quantity]]&gt;=umbral_grande, "Grande", IF(Tabla22[[#This Row],[quantity]]&gt;=umbral_mediano,"Mediano", "Pequeño"))</f>
        <v>Pequeño</v>
      </c>
    </row>
    <row r="103" spans="2:15" x14ac:dyDescent="0.25">
      <c r="B103">
        <v>100</v>
      </c>
      <c r="C103" s="1">
        <v>44689</v>
      </c>
      <c r="D103" t="s">
        <v>21</v>
      </c>
      <c r="E103" t="s">
        <v>11</v>
      </c>
      <c r="F103">
        <v>20</v>
      </c>
      <c r="G103">
        <v>11</v>
      </c>
      <c r="H103">
        <v>220</v>
      </c>
      <c r="J103" t="s">
        <v>12</v>
      </c>
      <c r="K103" t="s">
        <v>23</v>
      </c>
      <c r="L103">
        <f t="shared" si="3"/>
        <v>2022</v>
      </c>
      <c r="M103" s="13">
        <f t="shared" si="4"/>
        <v>44682</v>
      </c>
      <c r="N103" t="str">
        <f t="shared" si="5"/>
        <v>Sin registrar</v>
      </c>
      <c r="O103" t="str">
        <f>IF(Tabla22[[#This Row],[quantity]]&gt;=umbral_grande, "Grande", IF(Tabla22[[#This Row],[quantity]]&gt;=umbral_mediano,"Mediano", "Pequeño"))</f>
        <v>Grande</v>
      </c>
    </row>
    <row r="104" spans="2:15" x14ac:dyDescent="0.25">
      <c r="B104">
        <v>101</v>
      </c>
      <c r="C104" s="1">
        <v>45011</v>
      </c>
      <c r="D104" t="s">
        <v>14</v>
      </c>
      <c r="E104" t="s">
        <v>11</v>
      </c>
      <c r="F104">
        <v>20</v>
      </c>
      <c r="G104">
        <v>3</v>
      </c>
      <c r="H104">
        <v>60</v>
      </c>
      <c r="I104" t="s">
        <v>19</v>
      </c>
      <c r="J104" t="s">
        <v>22</v>
      </c>
      <c r="K104" t="s">
        <v>23</v>
      </c>
      <c r="L104">
        <f t="shared" si="3"/>
        <v>2023</v>
      </c>
      <c r="M104" s="13">
        <f t="shared" si="4"/>
        <v>44986</v>
      </c>
      <c r="N104" t="str">
        <f t="shared" si="5"/>
        <v>Online</v>
      </c>
      <c r="O104" t="str">
        <f>IF(Tabla22[[#This Row],[quantity]]&gt;=umbral_grande, "Grande", IF(Tabla22[[#This Row],[quantity]]&gt;=umbral_mediano,"Mediano", "Pequeño"))</f>
        <v>Pequeño</v>
      </c>
    </row>
    <row r="105" spans="2:15" x14ac:dyDescent="0.25">
      <c r="B105">
        <v>102</v>
      </c>
      <c r="C105" s="1">
        <v>44998</v>
      </c>
      <c r="D105" t="s">
        <v>27</v>
      </c>
      <c r="E105" t="s">
        <v>18</v>
      </c>
      <c r="F105">
        <v>40</v>
      </c>
      <c r="G105">
        <v>14</v>
      </c>
      <c r="H105">
        <v>560</v>
      </c>
      <c r="I105" t="s">
        <v>15</v>
      </c>
      <c r="J105" t="s">
        <v>12</v>
      </c>
      <c r="K105" t="s">
        <v>23</v>
      </c>
      <c r="L105">
        <f t="shared" si="3"/>
        <v>2023</v>
      </c>
      <c r="M105" s="13">
        <f t="shared" si="4"/>
        <v>44986</v>
      </c>
      <c r="N105" t="str">
        <f t="shared" si="5"/>
        <v>Cash</v>
      </c>
      <c r="O105" t="str">
        <f>IF(Tabla22[[#This Row],[quantity]]&gt;=umbral_grande, "Grande", IF(Tabla22[[#This Row],[quantity]]&gt;=umbral_mediano,"Mediano", "Pequeño"))</f>
        <v>Grande</v>
      </c>
    </row>
    <row r="106" spans="2:15" x14ac:dyDescent="0.25">
      <c r="B106">
        <v>103</v>
      </c>
      <c r="C106" s="1">
        <v>44999</v>
      </c>
      <c r="D106" t="s">
        <v>27</v>
      </c>
      <c r="E106" t="s">
        <v>18</v>
      </c>
      <c r="F106">
        <v>40</v>
      </c>
      <c r="G106">
        <v>8</v>
      </c>
      <c r="H106">
        <v>320</v>
      </c>
      <c r="I106" t="s">
        <v>19</v>
      </c>
      <c r="J106" t="s">
        <v>22</v>
      </c>
      <c r="K106" t="s">
        <v>26</v>
      </c>
      <c r="L106">
        <f t="shared" si="3"/>
        <v>2023</v>
      </c>
      <c r="M106" s="13">
        <f t="shared" si="4"/>
        <v>44986</v>
      </c>
      <c r="N106" t="str">
        <f t="shared" si="5"/>
        <v>Online</v>
      </c>
      <c r="O106" t="str">
        <f>IF(Tabla22[[#This Row],[quantity]]&gt;=umbral_grande, "Grande", IF(Tabla22[[#This Row],[quantity]]&gt;=umbral_mediano,"Mediano", "Pequeño"))</f>
        <v>Mediano</v>
      </c>
    </row>
    <row r="107" spans="2:15" x14ac:dyDescent="0.25">
      <c r="B107">
        <v>104</v>
      </c>
      <c r="C107" s="1">
        <v>44861</v>
      </c>
      <c r="D107" t="s">
        <v>27</v>
      </c>
      <c r="E107" t="s">
        <v>18</v>
      </c>
      <c r="F107">
        <v>40</v>
      </c>
      <c r="G107">
        <v>13</v>
      </c>
      <c r="H107">
        <v>520</v>
      </c>
      <c r="I107" t="s">
        <v>19</v>
      </c>
      <c r="J107" t="s">
        <v>12</v>
      </c>
      <c r="K107" t="s">
        <v>23</v>
      </c>
      <c r="L107">
        <f t="shared" si="3"/>
        <v>2022</v>
      </c>
      <c r="M107" s="13">
        <f t="shared" si="4"/>
        <v>44835</v>
      </c>
      <c r="N107" t="str">
        <f t="shared" si="5"/>
        <v>Online</v>
      </c>
      <c r="O107" t="str">
        <f>IF(Tabla22[[#This Row],[quantity]]&gt;=umbral_grande, "Grande", IF(Tabla22[[#This Row],[quantity]]&gt;=umbral_mediano,"Mediano", "Pequeño"))</f>
        <v>Grande</v>
      </c>
    </row>
    <row r="108" spans="2:15" x14ac:dyDescent="0.25">
      <c r="B108">
        <v>105</v>
      </c>
      <c r="C108" s="1">
        <v>44951</v>
      </c>
      <c r="D108" t="s">
        <v>21</v>
      </c>
      <c r="E108" t="s">
        <v>11</v>
      </c>
      <c r="F108">
        <v>20</v>
      </c>
      <c r="G108">
        <v>8</v>
      </c>
      <c r="H108">
        <v>160</v>
      </c>
      <c r="I108" t="s">
        <v>15</v>
      </c>
      <c r="J108" t="s">
        <v>22</v>
      </c>
      <c r="K108" t="s">
        <v>20</v>
      </c>
      <c r="L108">
        <f t="shared" si="3"/>
        <v>2023</v>
      </c>
      <c r="M108" s="13">
        <f t="shared" si="4"/>
        <v>44927</v>
      </c>
      <c r="N108" t="str">
        <f t="shared" si="5"/>
        <v>Cash</v>
      </c>
      <c r="O108" t="str">
        <f>IF(Tabla22[[#This Row],[quantity]]&gt;=umbral_grande, "Grande", IF(Tabla22[[#This Row],[quantity]]&gt;=umbral_mediano,"Mediano", "Pequeño"))</f>
        <v>Mediano</v>
      </c>
    </row>
    <row r="109" spans="2:15" x14ac:dyDescent="0.25">
      <c r="B109">
        <v>106</v>
      </c>
      <c r="C109" s="1">
        <v>44982</v>
      </c>
      <c r="D109" t="s">
        <v>24</v>
      </c>
      <c r="E109" t="s">
        <v>11</v>
      </c>
      <c r="F109">
        <v>50</v>
      </c>
      <c r="G109">
        <v>9</v>
      </c>
      <c r="H109">
        <v>450</v>
      </c>
      <c r="I109" t="s">
        <v>15</v>
      </c>
      <c r="J109" t="s">
        <v>22</v>
      </c>
      <c r="K109" t="s">
        <v>20</v>
      </c>
      <c r="L109">
        <f t="shared" si="3"/>
        <v>2023</v>
      </c>
      <c r="M109" s="13">
        <f t="shared" si="4"/>
        <v>44958</v>
      </c>
      <c r="N109" t="str">
        <f t="shared" si="5"/>
        <v>Cash</v>
      </c>
      <c r="O109" t="str">
        <f>IF(Tabla22[[#This Row],[quantity]]&gt;=umbral_grande, "Grande", IF(Tabla22[[#This Row],[quantity]]&gt;=umbral_mediano,"Mediano", "Pequeño"))</f>
        <v>Mediano</v>
      </c>
    </row>
    <row r="110" spans="2:15" x14ac:dyDescent="0.25">
      <c r="B110">
        <v>107</v>
      </c>
      <c r="C110" s="1">
        <v>44964</v>
      </c>
      <c r="D110" t="s">
        <v>25</v>
      </c>
      <c r="E110" t="s">
        <v>11</v>
      </c>
      <c r="F110">
        <v>60</v>
      </c>
      <c r="G110">
        <v>4</v>
      </c>
      <c r="H110">
        <v>240</v>
      </c>
      <c r="I110" t="s">
        <v>19</v>
      </c>
      <c r="J110" t="s">
        <v>12</v>
      </c>
      <c r="K110" t="s">
        <v>16</v>
      </c>
      <c r="L110">
        <f t="shared" si="3"/>
        <v>2023</v>
      </c>
      <c r="M110" s="13">
        <f t="shared" si="4"/>
        <v>44958</v>
      </c>
      <c r="N110" t="str">
        <f t="shared" si="5"/>
        <v>Online</v>
      </c>
      <c r="O110" t="str">
        <f>IF(Tabla22[[#This Row],[quantity]]&gt;=umbral_grande, "Grande", IF(Tabla22[[#This Row],[quantity]]&gt;=umbral_mediano,"Mediano", "Pequeño"))</f>
        <v>Pequeño</v>
      </c>
    </row>
    <row r="111" spans="2:15" x14ac:dyDescent="0.25">
      <c r="B111">
        <v>108</v>
      </c>
      <c r="C111" s="1">
        <v>44779</v>
      </c>
      <c r="D111" t="s">
        <v>21</v>
      </c>
      <c r="E111" t="s">
        <v>11</v>
      </c>
      <c r="F111">
        <v>20</v>
      </c>
      <c r="G111">
        <v>5</v>
      </c>
      <c r="H111">
        <v>100</v>
      </c>
      <c r="I111" t="s">
        <v>19</v>
      </c>
      <c r="J111" t="s">
        <v>12</v>
      </c>
      <c r="K111" t="s">
        <v>16</v>
      </c>
      <c r="L111">
        <f t="shared" si="3"/>
        <v>2022</v>
      </c>
      <c r="M111" s="13">
        <f t="shared" si="4"/>
        <v>44774</v>
      </c>
      <c r="N111" t="str">
        <f t="shared" si="5"/>
        <v>Online</v>
      </c>
      <c r="O111" t="str">
        <f>IF(Tabla22[[#This Row],[quantity]]&gt;=umbral_grande, "Grande", IF(Tabla22[[#This Row],[quantity]]&gt;=umbral_mediano,"Mediano", "Pequeño"))</f>
        <v>Pequeño</v>
      </c>
    </row>
    <row r="112" spans="2:15" x14ac:dyDescent="0.25">
      <c r="B112">
        <v>109</v>
      </c>
      <c r="C112" s="1">
        <v>44781</v>
      </c>
      <c r="D112" t="s">
        <v>27</v>
      </c>
      <c r="E112" t="s">
        <v>18</v>
      </c>
      <c r="F112">
        <v>40</v>
      </c>
      <c r="G112">
        <v>12</v>
      </c>
      <c r="H112">
        <v>480</v>
      </c>
      <c r="J112" t="s">
        <v>12</v>
      </c>
      <c r="K112" t="s">
        <v>16</v>
      </c>
      <c r="L112">
        <f t="shared" si="3"/>
        <v>2022</v>
      </c>
      <c r="M112" s="13">
        <f t="shared" si="4"/>
        <v>44774</v>
      </c>
      <c r="N112" t="str">
        <f t="shared" si="5"/>
        <v>Sin registrar</v>
      </c>
      <c r="O112" t="str">
        <f>IF(Tabla22[[#This Row],[quantity]]&gt;=umbral_grande, "Grande", IF(Tabla22[[#This Row],[quantity]]&gt;=umbral_mediano,"Mediano", "Pequeño"))</f>
        <v>Grande</v>
      </c>
    </row>
    <row r="113" spans="2:15" x14ac:dyDescent="0.25">
      <c r="B113">
        <v>110</v>
      </c>
      <c r="C113" s="1">
        <v>44881</v>
      </c>
      <c r="D113" t="s">
        <v>21</v>
      </c>
      <c r="E113" t="s">
        <v>11</v>
      </c>
      <c r="F113">
        <v>20</v>
      </c>
      <c r="G113">
        <v>2</v>
      </c>
      <c r="H113">
        <v>40</v>
      </c>
      <c r="I113" t="s">
        <v>19</v>
      </c>
      <c r="J113" t="s">
        <v>22</v>
      </c>
      <c r="K113" t="s">
        <v>23</v>
      </c>
      <c r="L113">
        <f t="shared" si="3"/>
        <v>2022</v>
      </c>
      <c r="M113" s="13">
        <f t="shared" si="4"/>
        <v>44866</v>
      </c>
      <c r="N113" t="str">
        <f t="shared" si="5"/>
        <v>Online</v>
      </c>
      <c r="O113" t="str">
        <f>IF(Tabla22[[#This Row],[quantity]]&gt;=umbral_grande, "Grande", IF(Tabla22[[#This Row],[quantity]]&gt;=umbral_mediano,"Mediano", "Pequeño"))</f>
        <v>Pequeño</v>
      </c>
    </row>
    <row r="114" spans="2:15" x14ac:dyDescent="0.25">
      <c r="B114">
        <v>111</v>
      </c>
      <c r="C114" s="1">
        <v>44808</v>
      </c>
      <c r="D114" t="s">
        <v>25</v>
      </c>
      <c r="E114" t="s">
        <v>11</v>
      </c>
      <c r="F114">
        <v>60</v>
      </c>
      <c r="G114">
        <v>8</v>
      </c>
      <c r="H114">
        <v>480</v>
      </c>
      <c r="I114" t="s">
        <v>15</v>
      </c>
      <c r="J114" t="s">
        <v>22</v>
      </c>
      <c r="K114" t="s">
        <v>26</v>
      </c>
      <c r="L114">
        <f t="shared" si="3"/>
        <v>2022</v>
      </c>
      <c r="M114" s="13">
        <f t="shared" si="4"/>
        <v>44805</v>
      </c>
      <c r="N114" t="str">
        <f t="shared" si="5"/>
        <v>Cash</v>
      </c>
      <c r="O114" t="str">
        <f>IF(Tabla22[[#This Row],[quantity]]&gt;=umbral_grande, "Grande", IF(Tabla22[[#This Row],[quantity]]&gt;=umbral_mediano,"Mediano", "Pequeño"))</f>
        <v>Mediano</v>
      </c>
    </row>
    <row r="115" spans="2:15" x14ac:dyDescent="0.25">
      <c r="B115">
        <v>112</v>
      </c>
      <c r="C115" s="1">
        <v>44981</v>
      </c>
      <c r="D115" t="s">
        <v>25</v>
      </c>
      <c r="E115" t="s">
        <v>11</v>
      </c>
      <c r="F115">
        <v>60</v>
      </c>
      <c r="G115">
        <v>7</v>
      </c>
      <c r="H115">
        <v>420</v>
      </c>
      <c r="I115" t="s">
        <v>15</v>
      </c>
      <c r="J115" t="s">
        <v>12</v>
      </c>
      <c r="K115" t="s">
        <v>23</v>
      </c>
      <c r="L115">
        <f t="shared" si="3"/>
        <v>2023</v>
      </c>
      <c r="M115" s="13">
        <f t="shared" si="4"/>
        <v>44958</v>
      </c>
      <c r="N115" t="str">
        <f t="shared" si="5"/>
        <v>Cash</v>
      </c>
      <c r="O115" t="str">
        <f>IF(Tabla22[[#This Row],[quantity]]&gt;=umbral_grande, "Grande", IF(Tabla22[[#This Row],[quantity]]&gt;=umbral_mediano,"Mediano", "Pequeño"))</f>
        <v>Mediano</v>
      </c>
    </row>
    <row r="116" spans="2:15" x14ac:dyDescent="0.25">
      <c r="B116">
        <v>113</v>
      </c>
      <c r="C116" s="1">
        <v>44907</v>
      </c>
      <c r="D116" t="s">
        <v>10</v>
      </c>
      <c r="E116" t="s">
        <v>11</v>
      </c>
      <c r="F116">
        <v>20</v>
      </c>
      <c r="G116">
        <v>8</v>
      </c>
      <c r="H116">
        <v>160</v>
      </c>
      <c r="I116" t="s">
        <v>15</v>
      </c>
      <c r="J116" t="s">
        <v>12</v>
      </c>
      <c r="K116" t="s">
        <v>16</v>
      </c>
      <c r="L116">
        <f t="shared" si="3"/>
        <v>2022</v>
      </c>
      <c r="M116" s="13">
        <f t="shared" si="4"/>
        <v>44896</v>
      </c>
      <c r="N116" t="str">
        <f t="shared" si="5"/>
        <v>Cash</v>
      </c>
      <c r="O116" t="str">
        <f>IF(Tabla22[[#This Row],[quantity]]&gt;=umbral_grande, "Grande", IF(Tabla22[[#This Row],[quantity]]&gt;=umbral_mediano,"Mediano", "Pequeño"))</f>
        <v>Mediano</v>
      </c>
    </row>
    <row r="117" spans="2:15" x14ac:dyDescent="0.25">
      <c r="B117">
        <v>114</v>
      </c>
      <c r="C117" s="1">
        <v>44787</v>
      </c>
      <c r="D117" t="s">
        <v>10</v>
      </c>
      <c r="E117" t="s">
        <v>11</v>
      </c>
      <c r="F117">
        <v>20</v>
      </c>
      <c r="G117">
        <v>10</v>
      </c>
      <c r="H117">
        <v>200</v>
      </c>
      <c r="I117" t="s">
        <v>19</v>
      </c>
      <c r="J117" t="s">
        <v>12</v>
      </c>
      <c r="K117" t="s">
        <v>16</v>
      </c>
      <c r="L117">
        <f t="shared" si="3"/>
        <v>2022</v>
      </c>
      <c r="M117" s="13">
        <f t="shared" si="4"/>
        <v>44774</v>
      </c>
      <c r="N117" t="str">
        <f t="shared" si="5"/>
        <v>Online</v>
      </c>
      <c r="O117" t="str">
        <f>IF(Tabla22[[#This Row],[quantity]]&gt;=umbral_grande, "Grande", IF(Tabla22[[#This Row],[quantity]]&gt;=umbral_mediano,"Mediano", "Pequeño"))</f>
        <v>Mediano</v>
      </c>
    </row>
    <row r="118" spans="2:15" x14ac:dyDescent="0.25">
      <c r="B118">
        <v>115</v>
      </c>
      <c r="C118" s="1">
        <v>44938</v>
      </c>
      <c r="D118" t="s">
        <v>10</v>
      </c>
      <c r="E118" t="s">
        <v>11</v>
      </c>
      <c r="F118">
        <v>20</v>
      </c>
      <c r="G118">
        <v>13</v>
      </c>
      <c r="H118">
        <v>260</v>
      </c>
      <c r="J118" t="s">
        <v>12</v>
      </c>
      <c r="K118" t="s">
        <v>20</v>
      </c>
      <c r="L118">
        <f t="shared" si="3"/>
        <v>2023</v>
      </c>
      <c r="M118" s="13">
        <f t="shared" si="4"/>
        <v>44927</v>
      </c>
      <c r="N118" t="str">
        <f t="shared" si="5"/>
        <v>Sin registrar</v>
      </c>
      <c r="O118" t="str">
        <f>IF(Tabla22[[#This Row],[quantity]]&gt;=umbral_grande, "Grande", IF(Tabla22[[#This Row],[quantity]]&gt;=umbral_mediano,"Mediano", "Pequeño"))</f>
        <v>Grande</v>
      </c>
    </row>
    <row r="119" spans="2:15" x14ac:dyDescent="0.25">
      <c r="B119">
        <v>116</v>
      </c>
      <c r="C119" s="1">
        <v>44799</v>
      </c>
      <c r="D119" t="s">
        <v>17</v>
      </c>
      <c r="E119" t="s">
        <v>18</v>
      </c>
      <c r="F119">
        <v>25</v>
      </c>
      <c r="G119">
        <v>13</v>
      </c>
      <c r="H119">
        <v>325</v>
      </c>
      <c r="I119" t="s">
        <v>15</v>
      </c>
      <c r="J119" t="s">
        <v>12</v>
      </c>
      <c r="K119" t="s">
        <v>20</v>
      </c>
      <c r="L119">
        <f t="shared" si="3"/>
        <v>2022</v>
      </c>
      <c r="M119" s="13">
        <f t="shared" si="4"/>
        <v>44774</v>
      </c>
      <c r="N119" t="str">
        <f t="shared" si="5"/>
        <v>Cash</v>
      </c>
      <c r="O119" t="str">
        <f>IF(Tabla22[[#This Row],[quantity]]&gt;=umbral_grande, "Grande", IF(Tabla22[[#This Row],[quantity]]&gt;=umbral_mediano,"Mediano", "Pequeño"))</f>
        <v>Grande</v>
      </c>
    </row>
    <row r="120" spans="2:15" x14ac:dyDescent="0.25">
      <c r="B120">
        <v>117</v>
      </c>
      <c r="C120" s="1">
        <v>44994</v>
      </c>
      <c r="D120" t="s">
        <v>24</v>
      </c>
      <c r="E120" t="s">
        <v>11</v>
      </c>
      <c r="F120">
        <v>50</v>
      </c>
      <c r="G120">
        <v>7</v>
      </c>
      <c r="H120">
        <v>350</v>
      </c>
      <c r="I120" t="s">
        <v>19</v>
      </c>
      <c r="J120" t="s">
        <v>22</v>
      </c>
      <c r="K120" t="s">
        <v>20</v>
      </c>
      <c r="L120">
        <f t="shared" si="3"/>
        <v>2023</v>
      </c>
      <c r="M120" s="13">
        <f t="shared" si="4"/>
        <v>44986</v>
      </c>
      <c r="N120" t="str">
        <f t="shared" si="5"/>
        <v>Online</v>
      </c>
      <c r="O120" t="str">
        <f>IF(Tabla22[[#This Row],[quantity]]&gt;=umbral_grande, "Grande", IF(Tabla22[[#This Row],[quantity]]&gt;=umbral_mediano,"Mediano", "Pequeño"))</f>
        <v>Mediano</v>
      </c>
    </row>
    <row r="121" spans="2:15" x14ac:dyDescent="0.25">
      <c r="B121">
        <v>118</v>
      </c>
      <c r="C121" s="1">
        <v>44748</v>
      </c>
      <c r="D121" t="s">
        <v>25</v>
      </c>
      <c r="E121" t="s">
        <v>11</v>
      </c>
      <c r="F121">
        <v>60</v>
      </c>
      <c r="G121">
        <v>1</v>
      </c>
      <c r="H121">
        <v>60</v>
      </c>
      <c r="I121" t="s">
        <v>19</v>
      </c>
      <c r="J121" t="s">
        <v>12</v>
      </c>
      <c r="K121" t="s">
        <v>26</v>
      </c>
      <c r="L121">
        <f t="shared" si="3"/>
        <v>2022</v>
      </c>
      <c r="M121" s="13">
        <f t="shared" si="4"/>
        <v>44743</v>
      </c>
      <c r="N121" t="str">
        <f t="shared" si="5"/>
        <v>Online</v>
      </c>
      <c r="O121" t="str">
        <f>IF(Tabla22[[#This Row],[quantity]]&gt;=umbral_grande, "Grande", IF(Tabla22[[#This Row],[quantity]]&gt;=umbral_mediano,"Mediano", "Pequeño"))</f>
        <v>Pequeño</v>
      </c>
    </row>
    <row r="122" spans="2:15" x14ac:dyDescent="0.25">
      <c r="B122">
        <v>119</v>
      </c>
      <c r="C122" s="1">
        <v>44693</v>
      </c>
      <c r="D122" t="s">
        <v>21</v>
      </c>
      <c r="E122" t="s">
        <v>11</v>
      </c>
      <c r="F122">
        <v>20</v>
      </c>
      <c r="G122">
        <v>10</v>
      </c>
      <c r="H122">
        <v>200</v>
      </c>
      <c r="I122" t="s">
        <v>15</v>
      </c>
      <c r="J122" t="s">
        <v>12</v>
      </c>
      <c r="K122" t="s">
        <v>20</v>
      </c>
      <c r="L122">
        <f t="shared" si="3"/>
        <v>2022</v>
      </c>
      <c r="M122" s="13">
        <f t="shared" si="4"/>
        <v>44682</v>
      </c>
      <c r="N122" t="str">
        <f t="shared" si="5"/>
        <v>Cash</v>
      </c>
      <c r="O122" t="str">
        <f>IF(Tabla22[[#This Row],[quantity]]&gt;=umbral_grande, "Grande", IF(Tabla22[[#This Row],[quantity]]&gt;=umbral_mediano,"Mediano", "Pequeño"))</f>
        <v>Mediano</v>
      </c>
    </row>
    <row r="123" spans="2:15" x14ac:dyDescent="0.25">
      <c r="B123">
        <v>120</v>
      </c>
      <c r="C123" s="1">
        <v>44752</v>
      </c>
      <c r="D123" t="s">
        <v>24</v>
      </c>
      <c r="E123" t="s">
        <v>11</v>
      </c>
      <c r="F123">
        <v>50</v>
      </c>
      <c r="G123">
        <v>2</v>
      </c>
      <c r="H123">
        <v>100</v>
      </c>
      <c r="I123" t="s">
        <v>15</v>
      </c>
      <c r="J123" t="s">
        <v>22</v>
      </c>
      <c r="K123" t="s">
        <v>20</v>
      </c>
      <c r="L123">
        <f t="shared" si="3"/>
        <v>2022</v>
      </c>
      <c r="M123" s="13">
        <f t="shared" si="4"/>
        <v>44743</v>
      </c>
      <c r="N123" t="str">
        <f t="shared" si="5"/>
        <v>Cash</v>
      </c>
      <c r="O123" t="str">
        <f>IF(Tabla22[[#This Row],[quantity]]&gt;=umbral_grande, "Grande", IF(Tabla22[[#This Row],[quantity]]&gt;=umbral_mediano,"Mediano", "Pequeño"))</f>
        <v>Pequeño</v>
      </c>
    </row>
    <row r="124" spans="2:15" x14ac:dyDescent="0.25">
      <c r="B124">
        <v>121</v>
      </c>
      <c r="C124" s="1">
        <v>44799</v>
      </c>
      <c r="D124" t="s">
        <v>27</v>
      </c>
      <c r="E124" t="s">
        <v>18</v>
      </c>
      <c r="F124">
        <v>40</v>
      </c>
      <c r="G124">
        <v>8</v>
      </c>
      <c r="H124">
        <v>320</v>
      </c>
      <c r="I124" t="s">
        <v>15</v>
      </c>
      <c r="J124" t="s">
        <v>12</v>
      </c>
      <c r="K124" t="s">
        <v>16</v>
      </c>
      <c r="L124">
        <f t="shared" si="3"/>
        <v>2022</v>
      </c>
      <c r="M124" s="13">
        <f t="shared" si="4"/>
        <v>44774</v>
      </c>
      <c r="N124" t="str">
        <f t="shared" si="5"/>
        <v>Cash</v>
      </c>
      <c r="O124" t="str">
        <f>IF(Tabla22[[#This Row],[quantity]]&gt;=umbral_grande, "Grande", IF(Tabla22[[#This Row],[quantity]]&gt;=umbral_mediano,"Mediano", "Pequeño"))</f>
        <v>Mediano</v>
      </c>
    </row>
    <row r="125" spans="2:15" x14ac:dyDescent="0.25">
      <c r="B125">
        <v>122</v>
      </c>
      <c r="C125" s="1">
        <v>44675</v>
      </c>
      <c r="D125" t="s">
        <v>21</v>
      </c>
      <c r="E125" t="s">
        <v>11</v>
      </c>
      <c r="F125">
        <v>20</v>
      </c>
      <c r="G125">
        <v>3</v>
      </c>
      <c r="H125">
        <v>60</v>
      </c>
      <c r="J125" t="s">
        <v>22</v>
      </c>
      <c r="K125" t="s">
        <v>13</v>
      </c>
      <c r="L125">
        <f t="shared" si="3"/>
        <v>2022</v>
      </c>
      <c r="M125" s="13">
        <f t="shared" si="4"/>
        <v>44652</v>
      </c>
      <c r="N125" t="str">
        <f t="shared" si="5"/>
        <v>Sin registrar</v>
      </c>
      <c r="O125" t="str">
        <f>IF(Tabla22[[#This Row],[quantity]]&gt;=umbral_grande, "Grande", IF(Tabla22[[#This Row],[quantity]]&gt;=umbral_mediano,"Mediano", "Pequeño"))</f>
        <v>Pequeño</v>
      </c>
    </row>
    <row r="126" spans="2:15" x14ac:dyDescent="0.25">
      <c r="B126">
        <v>123</v>
      </c>
      <c r="C126" s="1">
        <v>44721</v>
      </c>
      <c r="D126" t="s">
        <v>27</v>
      </c>
      <c r="E126" t="s">
        <v>18</v>
      </c>
      <c r="F126">
        <v>40</v>
      </c>
      <c r="G126">
        <v>6</v>
      </c>
      <c r="H126">
        <v>240</v>
      </c>
      <c r="I126" t="s">
        <v>19</v>
      </c>
      <c r="J126" t="s">
        <v>12</v>
      </c>
      <c r="K126" t="s">
        <v>20</v>
      </c>
      <c r="L126">
        <f t="shared" si="3"/>
        <v>2022</v>
      </c>
      <c r="M126" s="13">
        <f t="shared" si="4"/>
        <v>44713</v>
      </c>
      <c r="N126" t="str">
        <f t="shared" si="5"/>
        <v>Online</v>
      </c>
      <c r="O126" t="str">
        <f>IF(Tabla22[[#This Row],[quantity]]&gt;=umbral_grande, "Grande", IF(Tabla22[[#This Row],[quantity]]&gt;=umbral_mediano,"Mediano", "Pequeño"))</f>
        <v>Mediano</v>
      </c>
    </row>
    <row r="127" spans="2:15" x14ac:dyDescent="0.25">
      <c r="B127">
        <v>124</v>
      </c>
      <c r="C127" s="1">
        <v>44848</v>
      </c>
      <c r="D127" t="s">
        <v>17</v>
      </c>
      <c r="E127" t="s">
        <v>18</v>
      </c>
      <c r="F127">
        <v>25</v>
      </c>
      <c r="G127">
        <v>13</v>
      </c>
      <c r="H127">
        <v>325</v>
      </c>
      <c r="J127" t="s">
        <v>22</v>
      </c>
      <c r="K127" t="s">
        <v>20</v>
      </c>
      <c r="L127">
        <f t="shared" si="3"/>
        <v>2022</v>
      </c>
      <c r="M127" s="13">
        <f t="shared" si="4"/>
        <v>44835</v>
      </c>
      <c r="N127" t="str">
        <f t="shared" si="5"/>
        <v>Sin registrar</v>
      </c>
      <c r="O127" t="str">
        <f>IF(Tabla22[[#This Row],[quantity]]&gt;=umbral_grande, "Grande", IF(Tabla22[[#This Row],[quantity]]&gt;=umbral_mediano,"Mediano", "Pequeño"))</f>
        <v>Grande</v>
      </c>
    </row>
    <row r="128" spans="2:15" x14ac:dyDescent="0.25">
      <c r="B128">
        <v>125</v>
      </c>
      <c r="C128" s="1">
        <v>44661</v>
      </c>
      <c r="D128" t="s">
        <v>14</v>
      </c>
      <c r="E128" t="s">
        <v>11</v>
      </c>
      <c r="F128">
        <v>20</v>
      </c>
      <c r="G128">
        <v>7</v>
      </c>
      <c r="H128">
        <v>140</v>
      </c>
      <c r="I128" t="s">
        <v>15</v>
      </c>
      <c r="J128" t="s">
        <v>22</v>
      </c>
      <c r="K128" t="s">
        <v>26</v>
      </c>
      <c r="L128">
        <f t="shared" si="3"/>
        <v>2022</v>
      </c>
      <c r="M128" s="13">
        <f t="shared" si="4"/>
        <v>44652</v>
      </c>
      <c r="N128" t="str">
        <f t="shared" si="5"/>
        <v>Cash</v>
      </c>
      <c r="O128" t="str">
        <f>IF(Tabla22[[#This Row],[quantity]]&gt;=umbral_grande, "Grande", IF(Tabla22[[#This Row],[quantity]]&gt;=umbral_mediano,"Mediano", "Pequeño"))</f>
        <v>Mediano</v>
      </c>
    </row>
    <row r="129" spans="2:15" x14ac:dyDescent="0.25">
      <c r="B129">
        <v>126</v>
      </c>
      <c r="C129" s="1">
        <v>44659</v>
      </c>
      <c r="D129" t="s">
        <v>21</v>
      </c>
      <c r="E129" t="s">
        <v>11</v>
      </c>
      <c r="F129">
        <v>20</v>
      </c>
      <c r="G129">
        <v>11</v>
      </c>
      <c r="H129">
        <v>220</v>
      </c>
      <c r="I129" t="s">
        <v>19</v>
      </c>
      <c r="J129" t="s">
        <v>22</v>
      </c>
      <c r="K129" t="s">
        <v>13</v>
      </c>
      <c r="L129">
        <f t="shared" si="3"/>
        <v>2022</v>
      </c>
      <c r="M129" s="13">
        <f t="shared" si="4"/>
        <v>44652</v>
      </c>
      <c r="N129" t="str">
        <f t="shared" si="5"/>
        <v>Online</v>
      </c>
      <c r="O129" t="str">
        <f>IF(Tabla22[[#This Row],[quantity]]&gt;=umbral_grande, "Grande", IF(Tabla22[[#This Row],[quantity]]&gt;=umbral_mediano,"Mediano", "Pequeño"))</f>
        <v>Grande</v>
      </c>
    </row>
    <row r="130" spans="2:15" x14ac:dyDescent="0.25">
      <c r="B130">
        <v>127</v>
      </c>
      <c r="C130" s="1">
        <v>44898</v>
      </c>
      <c r="D130" t="s">
        <v>10</v>
      </c>
      <c r="E130" t="s">
        <v>11</v>
      </c>
      <c r="F130">
        <v>20</v>
      </c>
      <c r="G130">
        <v>1</v>
      </c>
      <c r="H130">
        <v>20</v>
      </c>
      <c r="J130" t="s">
        <v>22</v>
      </c>
      <c r="K130" t="s">
        <v>23</v>
      </c>
      <c r="L130">
        <f t="shared" si="3"/>
        <v>2022</v>
      </c>
      <c r="M130" s="13">
        <f t="shared" si="4"/>
        <v>44896</v>
      </c>
      <c r="N130" t="str">
        <f t="shared" si="5"/>
        <v>Sin registrar</v>
      </c>
      <c r="O130" t="str">
        <f>IF(Tabla22[[#This Row],[quantity]]&gt;=umbral_grande, "Grande", IF(Tabla22[[#This Row],[quantity]]&gt;=umbral_mediano,"Mediano", "Pequeño"))</f>
        <v>Pequeño</v>
      </c>
    </row>
    <row r="131" spans="2:15" x14ac:dyDescent="0.25">
      <c r="B131">
        <v>128</v>
      </c>
      <c r="C131" s="1">
        <v>44780</v>
      </c>
      <c r="D131" t="s">
        <v>14</v>
      </c>
      <c r="E131" t="s">
        <v>11</v>
      </c>
      <c r="F131">
        <v>20</v>
      </c>
      <c r="G131">
        <v>11</v>
      </c>
      <c r="H131">
        <v>220</v>
      </c>
      <c r="I131" t="s">
        <v>19</v>
      </c>
      <c r="J131" t="s">
        <v>12</v>
      </c>
      <c r="K131" t="s">
        <v>26</v>
      </c>
      <c r="L131">
        <f t="shared" si="3"/>
        <v>2022</v>
      </c>
      <c r="M131" s="13">
        <f t="shared" si="4"/>
        <v>44774</v>
      </c>
      <c r="N131" t="str">
        <f t="shared" si="5"/>
        <v>Online</v>
      </c>
      <c r="O131" t="str">
        <f>IF(Tabla22[[#This Row],[quantity]]&gt;=umbral_grande, "Grande", IF(Tabla22[[#This Row],[quantity]]&gt;=umbral_mediano,"Mediano", "Pequeño"))</f>
        <v>Grande</v>
      </c>
    </row>
    <row r="132" spans="2:15" x14ac:dyDescent="0.25">
      <c r="B132">
        <v>129</v>
      </c>
      <c r="C132" s="1">
        <v>44853</v>
      </c>
      <c r="D132" t="s">
        <v>21</v>
      </c>
      <c r="E132" t="s">
        <v>11</v>
      </c>
      <c r="F132">
        <v>20</v>
      </c>
      <c r="G132">
        <v>13</v>
      </c>
      <c r="H132">
        <v>260</v>
      </c>
      <c r="I132" t="s">
        <v>15</v>
      </c>
      <c r="J132" t="s">
        <v>22</v>
      </c>
      <c r="K132" t="s">
        <v>23</v>
      </c>
      <c r="L132">
        <f t="shared" si="3"/>
        <v>2022</v>
      </c>
      <c r="M132" s="13">
        <f t="shared" si="4"/>
        <v>44835</v>
      </c>
      <c r="N132" t="str">
        <f t="shared" si="5"/>
        <v>Cash</v>
      </c>
      <c r="O132" t="str">
        <f>IF(Tabla22[[#This Row],[quantity]]&gt;=umbral_grande, "Grande", IF(Tabla22[[#This Row],[quantity]]&gt;=umbral_mediano,"Mediano", "Pequeño"))</f>
        <v>Grande</v>
      </c>
    </row>
    <row r="133" spans="2:15" x14ac:dyDescent="0.25">
      <c r="B133">
        <v>130</v>
      </c>
      <c r="C133" s="1">
        <v>44923</v>
      </c>
      <c r="D133" t="s">
        <v>17</v>
      </c>
      <c r="E133" t="s">
        <v>18</v>
      </c>
      <c r="F133">
        <v>25</v>
      </c>
      <c r="G133">
        <v>7</v>
      </c>
      <c r="H133">
        <v>175</v>
      </c>
      <c r="I133" t="s">
        <v>15</v>
      </c>
      <c r="J133" t="s">
        <v>12</v>
      </c>
      <c r="K133" t="s">
        <v>13</v>
      </c>
      <c r="L133">
        <f t="shared" ref="L133:L196" si="6">YEAR(C133)</f>
        <v>2022</v>
      </c>
      <c r="M133" s="13">
        <f t="shared" ref="M133:M196" si="7">DATE(YEAR(C133),MONTH(C133),1)</f>
        <v>44896</v>
      </c>
      <c r="N133" t="str">
        <f t="shared" ref="N133:N196" si="8">IF(I133 = "", "Sin registrar",I133)</f>
        <v>Cash</v>
      </c>
      <c r="O133" t="str">
        <f>IF(Tabla22[[#This Row],[quantity]]&gt;=umbral_grande, "Grande", IF(Tabla22[[#This Row],[quantity]]&gt;=umbral_mediano,"Mediano", "Pequeño"))</f>
        <v>Mediano</v>
      </c>
    </row>
    <row r="134" spans="2:15" x14ac:dyDescent="0.25">
      <c r="B134">
        <v>131</v>
      </c>
      <c r="C134" s="1">
        <v>44945</v>
      </c>
      <c r="D134" t="s">
        <v>25</v>
      </c>
      <c r="E134" t="s">
        <v>11</v>
      </c>
      <c r="F134">
        <v>60</v>
      </c>
      <c r="G134">
        <v>8</v>
      </c>
      <c r="H134">
        <v>480</v>
      </c>
      <c r="I134" t="s">
        <v>15</v>
      </c>
      <c r="J134" t="s">
        <v>12</v>
      </c>
      <c r="K134" t="s">
        <v>13</v>
      </c>
      <c r="L134">
        <f t="shared" si="6"/>
        <v>2023</v>
      </c>
      <c r="M134" s="13">
        <f t="shared" si="7"/>
        <v>44927</v>
      </c>
      <c r="N134" t="str">
        <f t="shared" si="8"/>
        <v>Cash</v>
      </c>
      <c r="O134" t="str">
        <f>IF(Tabla22[[#This Row],[quantity]]&gt;=umbral_grande, "Grande", IF(Tabla22[[#This Row],[quantity]]&gt;=umbral_mediano,"Mediano", "Pequeño"))</f>
        <v>Mediano</v>
      </c>
    </row>
    <row r="135" spans="2:15" x14ac:dyDescent="0.25">
      <c r="B135">
        <v>132</v>
      </c>
      <c r="C135" s="1">
        <v>44900</v>
      </c>
      <c r="D135" t="s">
        <v>14</v>
      </c>
      <c r="E135" t="s">
        <v>11</v>
      </c>
      <c r="F135">
        <v>20</v>
      </c>
      <c r="G135">
        <v>4</v>
      </c>
      <c r="H135">
        <v>80</v>
      </c>
      <c r="I135" t="s">
        <v>19</v>
      </c>
      <c r="J135" t="s">
        <v>22</v>
      </c>
      <c r="K135" t="s">
        <v>13</v>
      </c>
      <c r="L135">
        <f t="shared" si="6"/>
        <v>2022</v>
      </c>
      <c r="M135" s="13">
        <f t="shared" si="7"/>
        <v>44896</v>
      </c>
      <c r="N135" t="str">
        <f t="shared" si="8"/>
        <v>Online</v>
      </c>
      <c r="O135" t="str">
        <f>IF(Tabla22[[#This Row],[quantity]]&gt;=umbral_grande, "Grande", IF(Tabla22[[#This Row],[quantity]]&gt;=umbral_mediano,"Mediano", "Pequeño"))</f>
        <v>Pequeño</v>
      </c>
    </row>
    <row r="136" spans="2:15" x14ac:dyDescent="0.25">
      <c r="B136">
        <v>133</v>
      </c>
      <c r="C136" s="1">
        <v>44915</v>
      </c>
      <c r="D136" t="s">
        <v>10</v>
      </c>
      <c r="E136" t="s">
        <v>11</v>
      </c>
      <c r="F136">
        <v>20</v>
      </c>
      <c r="G136">
        <v>5</v>
      </c>
      <c r="H136">
        <v>100</v>
      </c>
      <c r="I136" t="s">
        <v>19</v>
      </c>
      <c r="J136" t="s">
        <v>12</v>
      </c>
      <c r="K136" t="s">
        <v>26</v>
      </c>
      <c r="L136">
        <f t="shared" si="6"/>
        <v>2022</v>
      </c>
      <c r="M136" s="13">
        <f t="shared" si="7"/>
        <v>44896</v>
      </c>
      <c r="N136" t="str">
        <f t="shared" si="8"/>
        <v>Online</v>
      </c>
      <c r="O136" t="str">
        <f>IF(Tabla22[[#This Row],[quantity]]&gt;=umbral_grande, "Grande", IF(Tabla22[[#This Row],[quantity]]&gt;=umbral_mediano,"Mediano", "Pequeño"))</f>
        <v>Pequeño</v>
      </c>
    </row>
    <row r="137" spans="2:15" x14ac:dyDescent="0.25">
      <c r="B137">
        <v>134</v>
      </c>
      <c r="C137" s="1">
        <v>44759</v>
      </c>
      <c r="D137" t="s">
        <v>10</v>
      </c>
      <c r="E137" t="s">
        <v>11</v>
      </c>
      <c r="F137">
        <v>20</v>
      </c>
      <c r="G137">
        <v>12</v>
      </c>
      <c r="H137">
        <v>240</v>
      </c>
      <c r="I137" t="s">
        <v>19</v>
      </c>
      <c r="J137" t="s">
        <v>22</v>
      </c>
      <c r="K137" t="s">
        <v>13</v>
      </c>
      <c r="L137">
        <f t="shared" si="6"/>
        <v>2022</v>
      </c>
      <c r="M137" s="13">
        <f t="shared" si="7"/>
        <v>44743</v>
      </c>
      <c r="N137" t="str">
        <f t="shared" si="8"/>
        <v>Online</v>
      </c>
      <c r="O137" t="str">
        <f>IF(Tabla22[[#This Row],[quantity]]&gt;=umbral_grande, "Grande", IF(Tabla22[[#This Row],[quantity]]&gt;=umbral_mediano,"Mediano", "Pequeño"))</f>
        <v>Grande</v>
      </c>
    </row>
    <row r="138" spans="2:15" x14ac:dyDescent="0.25">
      <c r="B138">
        <v>135</v>
      </c>
      <c r="C138" s="1">
        <v>44940</v>
      </c>
      <c r="D138" t="s">
        <v>10</v>
      </c>
      <c r="E138" t="s">
        <v>11</v>
      </c>
      <c r="F138">
        <v>20</v>
      </c>
      <c r="G138">
        <v>8</v>
      </c>
      <c r="H138">
        <v>160</v>
      </c>
      <c r="I138" t="s">
        <v>19</v>
      </c>
      <c r="J138" t="s">
        <v>12</v>
      </c>
      <c r="K138" t="s">
        <v>26</v>
      </c>
      <c r="L138">
        <f t="shared" si="6"/>
        <v>2023</v>
      </c>
      <c r="M138" s="13">
        <f t="shared" si="7"/>
        <v>44927</v>
      </c>
      <c r="N138" t="str">
        <f t="shared" si="8"/>
        <v>Online</v>
      </c>
      <c r="O138" t="str">
        <f>IF(Tabla22[[#This Row],[quantity]]&gt;=umbral_grande, "Grande", IF(Tabla22[[#This Row],[quantity]]&gt;=umbral_mediano,"Mediano", "Pequeño"))</f>
        <v>Mediano</v>
      </c>
    </row>
    <row r="139" spans="2:15" x14ac:dyDescent="0.25">
      <c r="B139">
        <v>136</v>
      </c>
      <c r="C139" s="1">
        <v>44797</v>
      </c>
      <c r="D139" t="s">
        <v>10</v>
      </c>
      <c r="E139" t="s">
        <v>11</v>
      </c>
      <c r="F139">
        <v>20</v>
      </c>
      <c r="G139">
        <v>15</v>
      </c>
      <c r="H139">
        <v>300</v>
      </c>
      <c r="I139" t="s">
        <v>19</v>
      </c>
      <c r="J139" t="s">
        <v>12</v>
      </c>
      <c r="K139" t="s">
        <v>23</v>
      </c>
      <c r="L139">
        <f t="shared" si="6"/>
        <v>2022</v>
      </c>
      <c r="M139" s="13">
        <f t="shared" si="7"/>
        <v>44774</v>
      </c>
      <c r="N139" t="str">
        <f t="shared" si="8"/>
        <v>Online</v>
      </c>
      <c r="O139" t="str">
        <f>IF(Tabla22[[#This Row],[quantity]]&gt;=umbral_grande, "Grande", IF(Tabla22[[#This Row],[quantity]]&gt;=umbral_mediano,"Mediano", "Pequeño"))</f>
        <v>Grande</v>
      </c>
    </row>
    <row r="140" spans="2:15" x14ac:dyDescent="0.25">
      <c r="B140">
        <v>137</v>
      </c>
      <c r="C140" s="1">
        <v>45004</v>
      </c>
      <c r="D140" t="s">
        <v>17</v>
      </c>
      <c r="E140" t="s">
        <v>18</v>
      </c>
      <c r="F140">
        <v>25</v>
      </c>
      <c r="G140">
        <v>6</v>
      </c>
      <c r="H140">
        <v>150</v>
      </c>
      <c r="J140" t="s">
        <v>12</v>
      </c>
      <c r="K140" t="s">
        <v>16</v>
      </c>
      <c r="L140">
        <f t="shared" si="6"/>
        <v>2023</v>
      </c>
      <c r="M140" s="13">
        <f t="shared" si="7"/>
        <v>44986</v>
      </c>
      <c r="N140" t="str">
        <f t="shared" si="8"/>
        <v>Sin registrar</v>
      </c>
      <c r="O140" t="str">
        <f>IF(Tabla22[[#This Row],[quantity]]&gt;=umbral_grande, "Grande", IF(Tabla22[[#This Row],[quantity]]&gt;=umbral_mediano,"Mediano", "Pequeño"))</f>
        <v>Mediano</v>
      </c>
    </row>
    <row r="141" spans="2:15" x14ac:dyDescent="0.25">
      <c r="B141">
        <v>138</v>
      </c>
      <c r="C141" s="1">
        <v>44805</v>
      </c>
      <c r="D141" t="s">
        <v>25</v>
      </c>
      <c r="E141" t="s">
        <v>11</v>
      </c>
      <c r="F141">
        <v>60</v>
      </c>
      <c r="G141">
        <v>15</v>
      </c>
      <c r="H141">
        <v>900</v>
      </c>
      <c r="I141" t="s">
        <v>19</v>
      </c>
      <c r="J141" t="s">
        <v>12</v>
      </c>
      <c r="K141" t="s">
        <v>13</v>
      </c>
      <c r="L141">
        <f t="shared" si="6"/>
        <v>2022</v>
      </c>
      <c r="M141" s="13">
        <f t="shared" si="7"/>
        <v>44805</v>
      </c>
      <c r="N141" t="str">
        <f t="shared" si="8"/>
        <v>Online</v>
      </c>
      <c r="O141" t="str">
        <f>IF(Tabla22[[#This Row],[quantity]]&gt;=umbral_grande, "Grande", IF(Tabla22[[#This Row],[quantity]]&gt;=umbral_mediano,"Mediano", "Pequeño"))</f>
        <v>Grande</v>
      </c>
    </row>
    <row r="142" spans="2:15" x14ac:dyDescent="0.25">
      <c r="B142">
        <v>139</v>
      </c>
      <c r="C142" s="1">
        <v>44983</v>
      </c>
      <c r="D142" t="s">
        <v>24</v>
      </c>
      <c r="E142" t="s">
        <v>11</v>
      </c>
      <c r="F142">
        <v>50</v>
      </c>
      <c r="G142">
        <v>11</v>
      </c>
      <c r="H142">
        <v>550</v>
      </c>
      <c r="I142" t="s">
        <v>19</v>
      </c>
      <c r="J142" t="s">
        <v>22</v>
      </c>
      <c r="K142" t="s">
        <v>13</v>
      </c>
      <c r="L142">
        <f t="shared" si="6"/>
        <v>2023</v>
      </c>
      <c r="M142" s="13">
        <f t="shared" si="7"/>
        <v>44958</v>
      </c>
      <c r="N142" t="str">
        <f t="shared" si="8"/>
        <v>Online</v>
      </c>
      <c r="O142" t="str">
        <f>IF(Tabla22[[#This Row],[quantity]]&gt;=umbral_grande, "Grande", IF(Tabla22[[#This Row],[quantity]]&gt;=umbral_mediano,"Mediano", "Pequeño"))</f>
        <v>Grande</v>
      </c>
    </row>
    <row r="143" spans="2:15" x14ac:dyDescent="0.25">
      <c r="B143">
        <v>140</v>
      </c>
      <c r="C143" s="1">
        <v>44724</v>
      </c>
      <c r="D143" t="s">
        <v>24</v>
      </c>
      <c r="E143" t="s">
        <v>11</v>
      </c>
      <c r="F143">
        <v>50</v>
      </c>
      <c r="G143">
        <v>13</v>
      </c>
      <c r="H143">
        <v>650</v>
      </c>
      <c r="I143" t="s">
        <v>15</v>
      </c>
      <c r="J143" t="s">
        <v>12</v>
      </c>
      <c r="K143" t="s">
        <v>13</v>
      </c>
      <c r="L143">
        <f t="shared" si="6"/>
        <v>2022</v>
      </c>
      <c r="M143" s="13">
        <f t="shared" si="7"/>
        <v>44713</v>
      </c>
      <c r="N143" t="str">
        <f t="shared" si="8"/>
        <v>Cash</v>
      </c>
      <c r="O143" t="str">
        <f>IF(Tabla22[[#This Row],[quantity]]&gt;=umbral_grande, "Grande", IF(Tabla22[[#This Row],[quantity]]&gt;=umbral_mediano,"Mediano", "Pequeño"))</f>
        <v>Grande</v>
      </c>
    </row>
    <row r="144" spans="2:15" x14ac:dyDescent="0.25">
      <c r="B144">
        <v>141</v>
      </c>
      <c r="C144" s="1">
        <v>44727</v>
      </c>
      <c r="D144" t="s">
        <v>10</v>
      </c>
      <c r="E144" t="s">
        <v>11</v>
      </c>
      <c r="F144">
        <v>20</v>
      </c>
      <c r="G144">
        <v>4</v>
      </c>
      <c r="H144">
        <v>80</v>
      </c>
      <c r="J144" t="s">
        <v>12</v>
      </c>
      <c r="K144" t="s">
        <v>20</v>
      </c>
      <c r="L144">
        <f t="shared" si="6"/>
        <v>2022</v>
      </c>
      <c r="M144" s="13">
        <f t="shared" si="7"/>
        <v>44713</v>
      </c>
      <c r="N144" t="str">
        <f t="shared" si="8"/>
        <v>Sin registrar</v>
      </c>
      <c r="O144" t="str">
        <f>IF(Tabla22[[#This Row],[quantity]]&gt;=umbral_grande, "Grande", IF(Tabla22[[#This Row],[quantity]]&gt;=umbral_mediano,"Mediano", "Pequeño"))</f>
        <v>Pequeño</v>
      </c>
    </row>
    <row r="145" spans="2:15" x14ac:dyDescent="0.25">
      <c r="B145">
        <v>142</v>
      </c>
      <c r="C145" s="1">
        <v>44925</v>
      </c>
      <c r="D145" t="s">
        <v>17</v>
      </c>
      <c r="E145" t="s">
        <v>18</v>
      </c>
      <c r="F145">
        <v>25</v>
      </c>
      <c r="G145">
        <v>12</v>
      </c>
      <c r="H145">
        <v>300</v>
      </c>
      <c r="I145" t="s">
        <v>15</v>
      </c>
      <c r="J145" t="s">
        <v>22</v>
      </c>
      <c r="K145" t="s">
        <v>23</v>
      </c>
      <c r="L145">
        <f t="shared" si="6"/>
        <v>2022</v>
      </c>
      <c r="M145" s="13">
        <f t="shared" si="7"/>
        <v>44896</v>
      </c>
      <c r="N145" t="str">
        <f t="shared" si="8"/>
        <v>Cash</v>
      </c>
      <c r="O145" t="str">
        <f>IF(Tabla22[[#This Row],[quantity]]&gt;=umbral_grande, "Grande", IF(Tabla22[[#This Row],[quantity]]&gt;=umbral_mediano,"Mediano", "Pequeño"))</f>
        <v>Grande</v>
      </c>
    </row>
    <row r="146" spans="2:15" x14ac:dyDescent="0.25">
      <c r="B146">
        <v>143</v>
      </c>
      <c r="C146" s="1">
        <v>44822</v>
      </c>
      <c r="D146" t="s">
        <v>24</v>
      </c>
      <c r="E146" t="s">
        <v>11</v>
      </c>
      <c r="F146">
        <v>50</v>
      </c>
      <c r="G146">
        <v>8</v>
      </c>
      <c r="H146">
        <v>400</v>
      </c>
      <c r="J146" t="s">
        <v>22</v>
      </c>
      <c r="K146" t="s">
        <v>16</v>
      </c>
      <c r="L146">
        <f t="shared" si="6"/>
        <v>2022</v>
      </c>
      <c r="M146" s="13">
        <f t="shared" si="7"/>
        <v>44805</v>
      </c>
      <c r="N146" t="str">
        <f t="shared" si="8"/>
        <v>Sin registrar</v>
      </c>
      <c r="O146" t="str">
        <f>IF(Tabla22[[#This Row],[quantity]]&gt;=umbral_grande, "Grande", IF(Tabla22[[#This Row],[quantity]]&gt;=umbral_mediano,"Mediano", "Pequeño"))</f>
        <v>Mediano</v>
      </c>
    </row>
    <row r="147" spans="2:15" x14ac:dyDescent="0.25">
      <c r="B147">
        <v>144</v>
      </c>
      <c r="C147" s="1">
        <v>44882</v>
      </c>
      <c r="D147" t="s">
        <v>21</v>
      </c>
      <c r="E147" t="s">
        <v>11</v>
      </c>
      <c r="F147">
        <v>20</v>
      </c>
      <c r="G147">
        <v>10</v>
      </c>
      <c r="H147">
        <v>200</v>
      </c>
      <c r="I147" t="s">
        <v>15</v>
      </c>
      <c r="J147" t="s">
        <v>22</v>
      </c>
      <c r="K147" t="s">
        <v>20</v>
      </c>
      <c r="L147">
        <f t="shared" si="6"/>
        <v>2022</v>
      </c>
      <c r="M147" s="13">
        <f t="shared" si="7"/>
        <v>44866</v>
      </c>
      <c r="N147" t="str">
        <f t="shared" si="8"/>
        <v>Cash</v>
      </c>
      <c r="O147" t="str">
        <f>IF(Tabla22[[#This Row],[quantity]]&gt;=umbral_grande, "Grande", IF(Tabla22[[#This Row],[quantity]]&gt;=umbral_mediano,"Mediano", "Pequeño"))</f>
        <v>Mediano</v>
      </c>
    </row>
    <row r="148" spans="2:15" x14ac:dyDescent="0.25">
      <c r="B148">
        <v>145</v>
      </c>
      <c r="C148" s="1">
        <v>44843</v>
      </c>
      <c r="D148" t="s">
        <v>25</v>
      </c>
      <c r="E148" t="s">
        <v>11</v>
      </c>
      <c r="F148">
        <v>60</v>
      </c>
      <c r="G148">
        <v>14</v>
      </c>
      <c r="H148">
        <v>840</v>
      </c>
      <c r="I148" t="s">
        <v>19</v>
      </c>
      <c r="J148" t="s">
        <v>12</v>
      </c>
      <c r="K148" t="s">
        <v>23</v>
      </c>
      <c r="L148">
        <f t="shared" si="6"/>
        <v>2022</v>
      </c>
      <c r="M148" s="13">
        <f t="shared" si="7"/>
        <v>44835</v>
      </c>
      <c r="N148" t="str">
        <f t="shared" si="8"/>
        <v>Online</v>
      </c>
      <c r="O148" t="str">
        <f>IF(Tabla22[[#This Row],[quantity]]&gt;=umbral_grande, "Grande", IF(Tabla22[[#This Row],[quantity]]&gt;=umbral_mediano,"Mediano", "Pequeño"))</f>
        <v>Grande</v>
      </c>
    </row>
    <row r="149" spans="2:15" x14ac:dyDescent="0.25">
      <c r="B149">
        <v>146</v>
      </c>
      <c r="C149" s="1">
        <v>44862</v>
      </c>
      <c r="D149" t="s">
        <v>24</v>
      </c>
      <c r="E149" t="s">
        <v>11</v>
      </c>
      <c r="F149">
        <v>50</v>
      </c>
      <c r="G149">
        <v>4</v>
      </c>
      <c r="H149">
        <v>200</v>
      </c>
      <c r="J149" t="s">
        <v>22</v>
      </c>
      <c r="K149" t="s">
        <v>16</v>
      </c>
      <c r="L149">
        <f t="shared" si="6"/>
        <v>2022</v>
      </c>
      <c r="M149" s="13">
        <f t="shared" si="7"/>
        <v>44835</v>
      </c>
      <c r="N149" t="str">
        <f t="shared" si="8"/>
        <v>Sin registrar</v>
      </c>
      <c r="O149" t="str">
        <f>IF(Tabla22[[#This Row],[quantity]]&gt;=umbral_grande, "Grande", IF(Tabla22[[#This Row],[quantity]]&gt;=umbral_mediano,"Mediano", "Pequeño"))</f>
        <v>Pequeño</v>
      </c>
    </row>
    <row r="150" spans="2:15" x14ac:dyDescent="0.25">
      <c r="B150">
        <v>147</v>
      </c>
      <c r="C150" s="1">
        <v>44698</v>
      </c>
      <c r="D150" t="s">
        <v>21</v>
      </c>
      <c r="E150" t="s">
        <v>11</v>
      </c>
      <c r="F150">
        <v>20</v>
      </c>
      <c r="G150">
        <v>7</v>
      </c>
      <c r="H150">
        <v>140</v>
      </c>
      <c r="I150" t="s">
        <v>19</v>
      </c>
      <c r="J150" t="s">
        <v>12</v>
      </c>
      <c r="K150" t="s">
        <v>20</v>
      </c>
      <c r="L150">
        <f t="shared" si="6"/>
        <v>2022</v>
      </c>
      <c r="M150" s="13">
        <f t="shared" si="7"/>
        <v>44682</v>
      </c>
      <c r="N150" t="str">
        <f t="shared" si="8"/>
        <v>Online</v>
      </c>
      <c r="O150" t="str">
        <f>IF(Tabla22[[#This Row],[quantity]]&gt;=umbral_grande, "Grande", IF(Tabla22[[#This Row],[quantity]]&gt;=umbral_mediano,"Mediano", "Pequeño"))</f>
        <v>Mediano</v>
      </c>
    </row>
    <row r="151" spans="2:15" x14ac:dyDescent="0.25">
      <c r="B151">
        <v>148</v>
      </c>
      <c r="C151" s="1">
        <v>45004</v>
      </c>
      <c r="D151" t="s">
        <v>25</v>
      </c>
      <c r="E151" t="s">
        <v>11</v>
      </c>
      <c r="F151">
        <v>60</v>
      </c>
      <c r="G151">
        <v>13</v>
      </c>
      <c r="H151">
        <v>780</v>
      </c>
      <c r="I151" t="s">
        <v>19</v>
      </c>
      <c r="J151" t="s">
        <v>12</v>
      </c>
      <c r="K151" t="s">
        <v>20</v>
      </c>
      <c r="L151">
        <f t="shared" si="6"/>
        <v>2023</v>
      </c>
      <c r="M151" s="13">
        <f t="shared" si="7"/>
        <v>44986</v>
      </c>
      <c r="N151" t="str">
        <f t="shared" si="8"/>
        <v>Online</v>
      </c>
      <c r="O151" t="str">
        <f>IF(Tabla22[[#This Row],[quantity]]&gt;=umbral_grande, "Grande", IF(Tabla22[[#This Row],[quantity]]&gt;=umbral_mediano,"Mediano", "Pequeño"))</f>
        <v>Grande</v>
      </c>
    </row>
    <row r="152" spans="2:15" x14ac:dyDescent="0.25">
      <c r="B152">
        <v>149</v>
      </c>
      <c r="C152" s="1">
        <v>44782</v>
      </c>
      <c r="D152" t="s">
        <v>25</v>
      </c>
      <c r="E152" t="s">
        <v>11</v>
      </c>
      <c r="F152">
        <v>60</v>
      </c>
      <c r="G152">
        <v>7</v>
      </c>
      <c r="H152">
        <v>420</v>
      </c>
      <c r="I152" t="s">
        <v>19</v>
      </c>
      <c r="J152" t="s">
        <v>12</v>
      </c>
      <c r="K152" t="s">
        <v>23</v>
      </c>
      <c r="L152">
        <f t="shared" si="6"/>
        <v>2022</v>
      </c>
      <c r="M152" s="13">
        <f t="shared" si="7"/>
        <v>44774</v>
      </c>
      <c r="N152" t="str">
        <f t="shared" si="8"/>
        <v>Online</v>
      </c>
      <c r="O152" t="str">
        <f>IF(Tabla22[[#This Row],[quantity]]&gt;=umbral_grande, "Grande", IF(Tabla22[[#This Row],[quantity]]&gt;=umbral_mediano,"Mediano", "Pequeño"))</f>
        <v>Mediano</v>
      </c>
    </row>
    <row r="153" spans="2:15" x14ac:dyDescent="0.25">
      <c r="B153">
        <v>150</v>
      </c>
      <c r="C153" s="1">
        <v>44956</v>
      </c>
      <c r="D153" t="s">
        <v>27</v>
      </c>
      <c r="E153" t="s">
        <v>18</v>
      </c>
      <c r="F153">
        <v>40</v>
      </c>
      <c r="G153">
        <v>14</v>
      </c>
      <c r="H153">
        <v>560</v>
      </c>
      <c r="I153" t="s">
        <v>15</v>
      </c>
      <c r="J153" t="s">
        <v>12</v>
      </c>
      <c r="K153" t="s">
        <v>16</v>
      </c>
      <c r="L153">
        <f t="shared" si="6"/>
        <v>2023</v>
      </c>
      <c r="M153" s="13">
        <f t="shared" si="7"/>
        <v>44927</v>
      </c>
      <c r="N153" t="str">
        <f t="shared" si="8"/>
        <v>Cash</v>
      </c>
      <c r="O153" t="str">
        <f>IF(Tabla22[[#This Row],[quantity]]&gt;=umbral_grande, "Grande", IF(Tabla22[[#This Row],[quantity]]&gt;=umbral_mediano,"Mediano", "Pequeño"))</f>
        <v>Grande</v>
      </c>
    </row>
    <row r="154" spans="2:15" x14ac:dyDescent="0.25">
      <c r="B154">
        <v>151</v>
      </c>
      <c r="C154" s="1">
        <v>44752</v>
      </c>
      <c r="D154" t="s">
        <v>24</v>
      </c>
      <c r="E154" t="s">
        <v>11</v>
      </c>
      <c r="F154">
        <v>50</v>
      </c>
      <c r="G154">
        <v>13</v>
      </c>
      <c r="H154">
        <v>650</v>
      </c>
      <c r="I154" t="s">
        <v>19</v>
      </c>
      <c r="J154" t="s">
        <v>22</v>
      </c>
      <c r="K154" t="s">
        <v>23</v>
      </c>
      <c r="L154">
        <f t="shared" si="6"/>
        <v>2022</v>
      </c>
      <c r="M154" s="13">
        <f t="shared" si="7"/>
        <v>44743</v>
      </c>
      <c r="N154" t="str">
        <f t="shared" si="8"/>
        <v>Online</v>
      </c>
      <c r="O154" t="str">
        <f>IF(Tabla22[[#This Row],[quantity]]&gt;=umbral_grande, "Grande", IF(Tabla22[[#This Row],[quantity]]&gt;=umbral_mediano,"Mediano", "Pequeño"))</f>
        <v>Grande</v>
      </c>
    </row>
    <row r="155" spans="2:15" x14ac:dyDescent="0.25">
      <c r="B155">
        <v>152</v>
      </c>
      <c r="C155" s="1">
        <v>44858</v>
      </c>
      <c r="D155" t="s">
        <v>27</v>
      </c>
      <c r="E155" t="s">
        <v>18</v>
      </c>
      <c r="F155">
        <v>40</v>
      </c>
      <c r="G155">
        <v>9</v>
      </c>
      <c r="H155">
        <v>360</v>
      </c>
      <c r="I155" t="s">
        <v>19</v>
      </c>
      <c r="J155" t="s">
        <v>12</v>
      </c>
      <c r="K155" t="s">
        <v>16</v>
      </c>
      <c r="L155">
        <f t="shared" si="6"/>
        <v>2022</v>
      </c>
      <c r="M155" s="13">
        <f t="shared" si="7"/>
        <v>44835</v>
      </c>
      <c r="N155" t="str">
        <f t="shared" si="8"/>
        <v>Online</v>
      </c>
      <c r="O155" t="str">
        <f>IF(Tabla22[[#This Row],[quantity]]&gt;=umbral_grande, "Grande", IF(Tabla22[[#This Row],[quantity]]&gt;=umbral_mediano,"Mediano", "Pequeño"))</f>
        <v>Mediano</v>
      </c>
    </row>
    <row r="156" spans="2:15" x14ac:dyDescent="0.25">
      <c r="B156">
        <v>153</v>
      </c>
      <c r="C156" s="1">
        <v>44763</v>
      </c>
      <c r="D156" t="s">
        <v>21</v>
      </c>
      <c r="E156" t="s">
        <v>11</v>
      </c>
      <c r="F156">
        <v>20</v>
      </c>
      <c r="G156">
        <v>1</v>
      </c>
      <c r="H156">
        <v>20</v>
      </c>
      <c r="I156" t="s">
        <v>15</v>
      </c>
      <c r="J156" t="s">
        <v>22</v>
      </c>
      <c r="K156" t="s">
        <v>20</v>
      </c>
      <c r="L156">
        <f t="shared" si="6"/>
        <v>2022</v>
      </c>
      <c r="M156" s="13">
        <f t="shared" si="7"/>
        <v>44743</v>
      </c>
      <c r="N156" t="str">
        <f t="shared" si="8"/>
        <v>Cash</v>
      </c>
      <c r="O156" t="str">
        <f>IF(Tabla22[[#This Row],[quantity]]&gt;=umbral_grande, "Grande", IF(Tabla22[[#This Row],[quantity]]&gt;=umbral_mediano,"Mediano", "Pequeño"))</f>
        <v>Pequeño</v>
      </c>
    </row>
    <row r="157" spans="2:15" x14ac:dyDescent="0.25">
      <c r="B157">
        <v>154</v>
      </c>
      <c r="C157" s="1">
        <v>44908</v>
      </c>
      <c r="D157" t="s">
        <v>14</v>
      </c>
      <c r="E157" t="s">
        <v>11</v>
      </c>
      <c r="F157">
        <v>20</v>
      </c>
      <c r="G157">
        <v>3</v>
      </c>
      <c r="H157">
        <v>60</v>
      </c>
      <c r="I157" t="s">
        <v>15</v>
      </c>
      <c r="J157" t="s">
        <v>12</v>
      </c>
      <c r="K157" t="s">
        <v>13</v>
      </c>
      <c r="L157">
        <f t="shared" si="6"/>
        <v>2022</v>
      </c>
      <c r="M157" s="13">
        <f t="shared" si="7"/>
        <v>44896</v>
      </c>
      <c r="N157" t="str">
        <f t="shared" si="8"/>
        <v>Cash</v>
      </c>
      <c r="O157" t="str">
        <f>IF(Tabla22[[#This Row],[quantity]]&gt;=umbral_grande, "Grande", IF(Tabla22[[#This Row],[quantity]]&gt;=umbral_mediano,"Mediano", "Pequeño"))</f>
        <v>Pequeño</v>
      </c>
    </row>
    <row r="158" spans="2:15" x14ac:dyDescent="0.25">
      <c r="B158">
        <v>155</v>
      </c>
      <c r="C158" s="1">
        <v>44964</v>
      </c>
      <c r="D158" t="s">
        <v>17</v>
      </c>
      <c r="E158" t="s">
        <v>18</v>
      </c>
      <c r="F158">
        <v>25</v>
      </c>
      <c r="G158">
        <v>10</v>
      </c>
      <c r="H158">
        <v>250</v>
      </c>
      <c r="I158" t="s">
        <v>15</v>
      </c>
      <c r="J158" t="s">
        <v>22</v>
      </c>
      <c r="K158" t="s">
        <v>20</v>
      </c>
      <c r="L158">
        <f t="shared" si="6"/>
        <v>2023</v>
      </c>
      <c r="M158" s="13">
        <f t="shared" si="7"/>
        <v>44958</v>
      </c>
      <c r="N158" t="str">
        <f t="shared" si="8"/>
        <v>Cash</v>
      </c>
      <c r="O158" t="str">
        <f>IF(Tabla22[[#This Row],[quantity]]&gt;=umbral_grande, "Grande", IF(Tabla22[[#This Row],[quantity]]&gt;=umbral_mediano,"Mediano", "Pequeño"))</f>
        <v>Mediano</v>
      </c>
    </row>
    <row r="159" spans="2:15" x14ac:dyDescent="0.25">
      <c r="B159">
        <v>156</v>
      </c>
      <c r="C159" s="1">
        <v>45010</v>
      </c>
      <c r="D159" t="s">
        <v>21</v>
      </c>
      <c r="E159" t="s">
        <v>11</v>
      </c>
      <c r="F159">
        <v>20</v>
      </c>
      <c r="G159">
        <v>14</v>
      </c>
      <c r="H159">
        <v>280</v>
      </c>
      <c r="I159" t="s">
        <v>15</v>
      </c>
      <c r="J159" t="s">
        <v>12</v>
      </c>
      <c r="K159" t="s">
        <v>26</v>
      </c>
      <c r="L159">
        <f t="shared" si="6"/>
        <v>2023</v>
      </c>
      <c r="M159" s="13">
        <f t="shared" si="7"/>
        <v>44986</v>
      </c>
      <c r="N159" t="str">
        <f t="shared" si="8"/>
        <v>Cash</v>
      </c>
      <c r="O159" t="str">
        <f>IF(Tabla22[[#This Row],[quantity]]&gt;=umbral_grande, "Grande", IF(Tabla22[[#This Row],[quantity]]&gt;=umbral_mediano,"Mediano", "Pequeño"))</f>
        <v>Grande</v>
      </c>
    </row>
    <row r="160" spans="2:15" x14ac:dyDescent="0.25">
      <c r="B160">
        <v>157</v>
      </c>
      <c r="C160" s="1">
        <v>44981</v>
      </c>
      <c r="D160" t="s">
        <v>24</v>
      </c>
      <c r="E160" t="s">
        <v>11</v>
      </c>
      <c r="F160">
        <v>50</v>
      </c>
      <c r="G160">
        <v>7</v>
      </c>
      <c r="H160">
        <v>350</v>
      </c>
      <c r="I160" t="s">
        <v>19</v>
      </c>
      <c r="J160" t="s">
        <v>22</v>
      </c>
      <c r="K160" t="s">
        <v>26</v>
      </c>
      <c r="L160">
        <f t="shared" si="6"/>
        <v>2023</v>
      </c>
      <c r="M160" s="13">
        <f t="shared" si="7"/>
        <v>44958</v>
      </c>
      <c r="N160" t="str">
        <f t="shared" si="8"/>
        <v>Online</v>
      </c>
      <c r="O160" t="str">
        <f>IF(Tabla22[[#This Row],[quantity]]&gt;=umbral_grande, "Grande", IF(Tabla22[[#This Row],[quantity]]&gt;=umbral_mediano,"Mediano", "Pequeño"))</f>
        <v>Mediano</v>
      </c>
    </row>
    <row r="161" spans="2:15" x14ac:dyDescent="0.25">
      <c r="B161">
        <v>158</v>
      </c>
      <c r="C161" s="1">
        <v>44697</v>
      </c>
      <c r="D161" t="s">
        <v>10</v>
      </c>
      <c r="E161" t="s">
        <v>11</v>
      </c>
      <c r="F161">
        <v>20</v>
      </c>
      <c r="G161">
        <v>2</v>
      </c>
      <c r="H161">
        <v>40</v>
      </c>
      <c r="J161" t="s">
        <v>12</v>
      </c>
      <c r="K161" t="s">
        <v>26</v>
      </c>
      <c r="L161">
        <f t="shared" si="6"/>
        <v>2022</v>
      </c>
      <c r="M161" s="13">
        <f t="shared" si="7"/>
        <v>44682</v>
      </c>
      <c r="N161" t="str">
        <f t="shared" si="8"/>
        <v>Sin registrar</v>
      </c>
      <c r="O161" t="str">
        <f>IF(Tabla22[[#This Row],[quantity]]&gt;=umbral_grande, "Grande", IF(Tabla22[[#This Row],[quantity]]&gt;=umbral_mediano,"Mediano", "Pequeño"))</f>
        <v>Pequeño</v>
      </c>
    </row>
    <row r="162" spans="2:15" x14ac:dyDescent="0.25">
      <c r="B162">
        <v>159</v>
      </c>
      <c r="C162" s="1">
        <v>44837</v>
      </c>
      <c r="D162" t="s">
        <v>17</v>
      </c>
      <c r="E162" t="s">
        <v>18</v>
      </c>
      <c r="F162">
        <v>25</v>
      </c>
      <c r="G162">
        <v>1</v>
      </c>
      <c r="H162">
        <v>25</v>
      </c>
      <c r="I162" t="s">
        <v>19</v>
      </c>
      <c r="J162" t="s">
        <v>22</v>
      </c>
      <c r="K162" t="s">
        <v>16</v>
      </c>
      <c r="L162">
        <f t="shared" si="6"/>
        <v>2022</v>
      </c>
      <c r="M162" s="13">
        <f t="shared" si="7"/>
        <v>44835</v>
      </c>
      <c r="N162" t="str">
        <f t="shared" si="8"/>
        <v>Online</v>
      </c>
      <c r="O162" t="str">
        <f>IF(Tabla22[[#This Row],[quantity]]&gt;=umbral_grande, "Grande", IF(Tabla22[[#This Row],[quantity]]&gt;=umbral_mediano,"Mediano", "Pequeño"))</f>
        <v>Pequeño</v>
      </c>
    </row>
    <row r="163" spans="2:15" x14ac:dyDescent="0.25">
      <c r="B163">
        <v>160</v>
      </c>
      <c r="C163" s="1">
        <v>44765</v>
      </c>
      <c r="D163" t="s">
        <v>14</v>
      </c>
      <c r="E163" t="s">
        <v>11</v>
      </c>
      <c r="F163">
        <v>20</v>
      </c>
      <c r="G163">
        <v>10</v>
      </c>
      <c r="H163">
        <v>200</v>
      </c>
      <c r="I163" t="s">
        <v>19</v>
      </c>
      <c r="J163" t="s">
        <v>12</v>
      </c>
      <c r="K163" t="s">
        <v>13</v>
      </c>
      <c r="L163">
        <f t="shared" si="6"/>
        <v>2022</v>
      </c>
      <c r="M163" s="13">
        <f t="shared" si="7"/>
        <v>44743</v>
      </c>
      <c r="N163" t="str">
        <f t="shared" si="8"/>
        <v>Online</v>
      </c>
      <c r="O163" t="str">
        <f>IF(Tabla22[[#This Row],[quantity]]&gt;=umbral_grande, "Grande", IF(Tabla22[[#This Row],[quantity]]&gt;=umbral_mediano,"Mediano", "Pequeño"))</f>
        <v>Mediano</v>
      </c>
    </row>
    <row r="164" spans="2:15" x14ac:dyDescent="0.25">
      <c r="B164">
        <v>161</v>
      </c>
      <c r="C164" s="1">
        <v>44945</v>
      </c>
      <c r="D164" t="s">
        <v>17</v>
      </c>
      <c r="E164" t="s">
        <v>18</v>
      </c>
      <c r="F164">
        <v>25</v>
      </c>
      <c r="G164">
        <v>12</v>
      </c>
      <c r="H164">
        <v>300</v>
      </c>
      <c r="I164" t="s">
        <v>15</v>
      </c>
      <c r="J164" t="s">
        <v>12</v>
      </c>
      <c r="K164" t="s">
        <v>20</v>
      </c>
      <c r="L164">
        <f t="shared" si="6"/>
        <v>2023</v>
      </c>
      <c r="M164" s="13">
        <f t="shared" si="7"/>
        <v>44927</v>
      </c>
      <c r="N164" t="str">
        <f t="shared" si="8"/>
        <v>Cash</v>
      </c>
      <c r="O164" t="str">
        <f>IF(Tabla22[[#This Row],[quantity]]&gt;=umbral_grande, "Grande", IF(Tabla22[[#This Row],[quantity]]&gt;=umbral_mediano,"Mediano", "Pequeño"))</f>
        <v>Grande</v>
      </c>
    </row>
    <row r="165" spans="2:15" x14ac:dyDescent="0.25">
      <c r="B165">
        <v>162</v>
      </c>
      <c r="C165" s="1">
        <v>44688</v>
      </c>
      <c r="D165" t="s">
        <v>10</v>
      </c>
      <c r="E165" t="s">
        <v>11</v>
      </c>
      <c r="F165">
        <v>20</v>
      </c>
      <c r="G165">
        <v>11</v>
      </c>
      <c r="H165">
        <v>220</v>
      </c>
      <c r="I165" t="s">
        <v>15</v>
      </c>
      <c r="J165" t="s">
        <v>12</v>
      </c>
      <c r="K165" t="s">
        <v>26</v>
      </c>
      <c r="L165">
        <f t="shared" si="6"/>
        <v>2022</v>
      </c>
      <c r="M165" s="13">
        <f t="shared" si="7"/>
        <v>44682</v>
      </c>
      <c r="N165" t="str">
        <f t="shared" si="8"/>
        <v>Cash</v>
      </c>
      <c r="O165" t="str">
        <f>IF(Tabla22[[#This Row],[quantity]]&gt;=umbral_grande, "Grande", IF(Tabla22[[#This Row],[quantity]]&gt;=umbral_mediano,"Mediano", "Pequeño"))</f>
        <v>Grande</v>
      </c>
    </row>
    <row r="166" spans="2:15" x14ac:dyDescent="0.25">
      <c r="B166">
        <v>163</v>
      </c>
      <c r="C166" s="1">
        <v>44932</v>
      </c>
      <c r="D166" t="s">
        <v>24</v>
      </c>
      <c r="E166" t="s">
        <v>11</v>
      </c>
      <c r="F166">
        <v>50</v>
      </c>
      <c r="G166">
        <v>6</v>
      </c>
      <c r="H166">
        <v>300</v>
      </c>
      <c r="I166" t="s">
        <v>19</v>
      </c>
      <c r="J166" t="s">
        <v>22</v>
      </c>
      <c r="K166" t="s">
        <v>26</v>
      </c>
      <c r="L166">
        <f t="shared" si="6"/>
        <v>2023</v>
      </c>
      <c r="M166" s="13">
        <f t="shared" si="7"/>
        <v>44927</v>
      </c>
      <c r="N166" t="str">
        <f t="shared" si="8"/>
        <v>Online</v>
      </c>
      <c r="O166" t="str">
        <f>IF(Tabla22[[#This Row],[quantity]]&gt;=umbral_grande, "Grande", IF(Tabla22[[#This Row],[quantity]]&gt;=umbral_mediano,"Mediano", "Pequeño"))</f>
        <v>Mediano</v>
      </c>
    </row>
    <row r="167" spans="2:15" x14ac:dyDescent="0.25">
      <c r="B167">
        <v>164</v>
      </c>
      <c r="C167" s="1">
        <v>44783</v>
      </c>
      <c r="D167" t="s">
        <v>17</v>
      </c>
      <c r="E167" t="s">
        <v>18</v>
      </c>
      <c r="F167">
        <v>25</v>
      </c>
      <c r="G167">
        <v>7</v>
      </c>
      <c r="H167">
        <v>175</v>
      </c>
      <c r="I167" t="s">
        <v>19</v>
      </c>
      <c r="J167" t="s">
        <v>12</v>
      </c>
      <c r="K167" t="s">
        <v>16</v>
      </c>
      <c r="L167">
        <f t="shared" si="6"/>
        <v>2022</v>
      </c>
      <c r="M167" s="13">
        <f t="shared" si="7"/>
        <v>44774</v>
      </c>
      <c r="N167" t="str">
        <f t="shared" si="8"/>
        <v>Online</v>
      </c>
      <c r="O167" t="str">
        <f>IF(Tabla22[[#This Row],[quantity]]&gt;=umbral_grande, "Grande", IF(Tabla22[[#This Row],[quantity]]&gt;=umbral_mediano,"Mediano", "Pequeño"))</f>
        <v>Mediano</v>
      </c>
    </row>
    <row r="168" spans="2:15" x14ac:dyDescent="0.25">
      <c r="B168">
        <v>165</v>
      </c>
      <c r="C168" s="1">
        <v>44931</v>
      </c>
      <c r="D168" t="s">
        <v>25</v>
      </c>
      <c r="E168" t="s">
        <v>11</v>
      </c>
      <c r="F168">
        <v>60</v>
      </c>
      <c r="G168">
        <v>11</v>
      </c>
      <c r="H168">
        <v>660</v>
      </c>
      <c r="I168" t="s">
        <v>15</v>
      </c>
      <c r="J168" t="s">
        <v>12</v>
      </c>
      <c r="K168" t="s">
        <v>26</v>
      </c>
      <c r="L168">
        <f t="shared" si="6"/>
        <v>2023</v>
      </c>
      <c r="M168" s="13">
        <f t="shared" si="7"/>
        <v>44927</v>
      </c>
      <c r="N168" t="str">
        <f t="shared" si="8"/>
        <v>Cash</v>
      </c>
      <c r="O168" t="str">
        <f>IF(Tabla22[[#This Row],[quantity]]&gt;=umbral_grande, "Grande", IF(Tabla22[[#This Row],[quantity]]&gt;=umbral_mediano,"Mediano", "Pequeño"))</f>
        <v>Grande</v>
      </c>
    </row>
    <row r="169" spans="2:15" x14ac:dyDescent="0.25">
      <c r="B169">
        <v>166</v>
      </c>
      <c r="C169" s="1">
        <v>44713</v>
      </c>
      <c r="D169" t="s">
        <v>21</v>
      </c>
      <c r="E169" t="s">
        <v>11</v>
      </c>
      <c r="F169">
        <v>20</v>
      </c>
      <c r="G169">
        <v>6</v>
      </c>
      <c r="H169">
        <v>120</v>
      </c>
      <c r="I169" t="s">
        <v>15</v>
      </c>
      <c r="J169" t="s">
        <v>22</v>
      </c>
      <c r="K169" t="s">
        <v>20</v>
      </c>
      <c r="L169">
        <f t="shared" si="6"/>
        <v>2022</v>
      </c>
      <c r="M169" s="13">
        <f t="shared" si="7"/>
        <v>44713</v>
      </c>
      <c r="N169" t="str">
        <f t="shared" si="8"/>
        <v>Cash</v>
      </c>
      <c r="O169" t="str">
        <f>IF(Tabla22[[#This Row],[quantity]]&gt;=umbral_grande, "Grande", IF(Tabla22[[#This Row],[quantity]]&gt;=umbral_mediano,"Mediano", "Pequeño"))</f>
        <v>Mediano</v>
      </c>
    </row>
    <row r="170" spans="2:15" x14ac:dyDescent="0.25">
      <c r="B170">
        <v>167</v>
      </c>
      <c r="C170" s="1">
        <v>44980</v>
      </c>
      <c r="D170" t="s">
        <v>27</v>
      </c>
      <c r="E170" t="s">
        <v>18</v>
      </c>
      <c r="F170">
        <v>40</v>
      </c>
      <c r="G170">
        <v>6</v>
      </c>
      <c r="H170">
        <v>240</v>
      </c>
      <c r="I170" t="s">
        <v>15</v>
      </c>
      <c r="J170" t="s">
        <v>22</v>
      </c>
      <c r="K170" t="s">
        <v>23</v>
      </c>
      <c r="L170">
        <f t="shared" si="6"/>
        <v>2023</v>
      </c>
      <c r="M170" s="13">
        <f t="shared" si="7"/>
        <v>44958</v>
      </c>
      <c r="N170" t="str">
        <f t="shared" si="8"/>
        <v>Cash</v>
      </c>
      <c r="O170" t="str">
        <f>IF(Tabla22[[#This Row],[quantity]]&gt;=umbral_grande, "Grande", IF(Tabla22[[#This Row],[quantity]]&gt;=umbral_mediano,"Mediano", "Pequeño"))</f>
        <v>Mediano</v>
      </c>
    </row>
    <row r="171" spans="2:15" x14ac:dyDescent="0.25">
      <c r="B171">
        <v>168</v>
      </c>
      <c r="C171" s="1">
        <v>44670</v>
      </c>
      <c r="D171" t="s">
        <v>25</v>
      </c>
      <c r="E171" t="s">
        <v>11</v>
      </c>
      <c r="F171">
        <v>60</v>
      </c>
      <c r="G171">
        <v>4</v>
      </c>
      <c r="H171">
        <v>240</v>
      </c>
      <c r="I171" t="s">
        <v>15</v>
      </c>
      <c r="J171" t="s">
        <v>22</v>
      </c>
      <c r="K171" t="s">
        <v>26</v>
      </c>
      <c r="L171">
        <f t="shared" si="6"/>
        <v>2022</v>
      </c>
      <c r="M171" s="13">
        <f t="shared" si="7"/>
        <v>44652</v>
      </c>
      <c r="N171" t="str">
        <f t="shared" si="8"/>
        <v>Cash</v>
      </c>
      <c r="O171" t="str">
        <f>IF(Tabla22[[#This Row],[quantity]]&gt;=umbral_grande, "Grande", IF(Tabla22[[#This Row],[quantity]]&gt;=umbral_mediano,"Mediano", "Pequeño"))</f>
        <v>Pequeño</v>
      </c>
    </row>
    <row r="172" spans="2:15" x14ac:dyDescent="0.25">
      <c r="B172">
        <v>169</v>
      </c>
      <c r="C172" s="1">
        <v>44732</v>
      </c>
      <c r="D172" t="s">
        <v>14</v>
      </c>
      <c r="E172" t="s">
        <v>11</v>
      </c>
      <c r="F172">
        <v>20</v>
      </c>
      <c r="G172">
        <v>6</v>
      </c>
      <c r="H172">
        <v>120</v>
      </c>
      <c r="I172" t="s">
        <v>15</v>
      </c>
      <c r="J172" t="s">
        <v>12</v>
      </c>
      <c r="K172" t="s">
        <v>23</v>
      </c>
      <c r="L172">
        <f t="shared" si="6"/>
        <v>2022</v>
      </c>
      <c r="M172" s="13">
        <f t="shared" si="7"/>
        <v>44713</v>
      </c>
      <c r="N172" t="str">
        <f t="shared" si="8"/>
        <v>Cash</v>
      </c>
      <c r="O172" t="str">
        <f>IF(Tabla22[[#This Row],[quantity]]&gt;=umbral_grande, "Grande", IF(Tabla22[[#This Row],[quantity]]&gt;=umbral_mediano,"Mediano", "Pequeño"))</f>
        <v>Mediano</v>
      </c>
    </row>
    <row r="173" spans="2:15" x14ac:dyDescent="0.25">
      <c r="B173">
        <v>170</v>
      </c>
      <c r="C173" s="1">
        <v>44970</v>
      </c>
      <c r="D173" t="s">
        <v>10</v>
      </c>
      <c r="E173" t="s">
        <v>11</v>
      </c>
      <c r="F173">
        <v>20</v>
      </c>
      <c r="G173">
        <v>6</v>
      </c>
      <c r="H173">
        <v>120</v>
      </c>
      <c r="J173" t="s">
        <v>22</v>
      </c>
      <c r="K173" t="s">
        <v>16</v>
      </c>
      <c r="L173">
        <f t="shared" si="6"/>
        <v>2023</v>
      </c>
      <c r="M173" s="13">
        <f t="shared" si="7"/>
        <v>44958</v>
      </c>
      <c r="N173" t="str">
        <f t="shared" si="8"/>
        <v>Sin registrar</v>
      </c>
      <c r="O173" t="str">
        <f>IF(Tabla22[[#This Row],[quantity]]&gt;=umbral_grande, "Grande", IF(Tabla22[[#This Row],[quantity]]&gt;=umbral_mediano,"Mediano", "Pequeño"))</f>
        <v>Mediano</v>
      </c>
    </row>
    <row r="174" spans="2:15" x14ac:dyDescent="0.25">
      <c r="B174">
        <v>171</v>
      </c>
      <c r="C174" s="1">
        <v>44987</v>
      </c>
      <c r="D174" t="s">
        <v>14</v>
      </c>
      <c r="E174" t="s">
        <v>11</v>
      </c>
      <c r="F174">
        <v>20</v>
      </c>
      <c r="G174">
        <v>11</v>
      </c>
      <c r="H174">
        <v>220</v>
      </c>
      <c r="I174" t="s">
        <v>15</v>
      </c>
      <c r="J174" t="s">
        <v>22</v>
      </c>
      <c r="K174" t="s">
        <v>26</v>
      </c>
      <c r="L174">
        <f t="shared" si="6"/>
        <v>2023</v>
      </c>
      <c r="M174" s="13">
        <f t="shared" si="7"/>
        <v>44986</v>
      </c>
      <c r="N174" t="str">
        <f t="shared" si="8"/>
        <v>Cash</v>
      </c>
      <c r="O174" t="str">
        <f>IF(Tabla22[[#This Row],[quantity]]&gt;=umbral_grande, "Grande", IF(Tabla22[[#This Row],[quantity]]&gt;=umbral_mediano,"Mediano", "Pequeño"))</f>
        <v>Grande</v>
      </c>
    </row>
    <row r="175" spans="2:15" x14ac:dyDescent="0.25">
      <c r="B175">
        <v>172</v>
      </c>
      <c r="C175" s="1">
        <v>44800</v>
      </c>
      <c r="D175" t="s">
        <v>17</v>
      </c>
      <c r="E175" t="s">
        <v>18</v>
      </c>
      <c r="F175">
        <v>25</v>
      </c>
      <c r="G175">
        <v>6</v>
      </c>
      <c r="H175">
        <v>150</v>
      </c>
      <c r="I175" t="s">
        <v>19</v>
      </c>
      <c r="J175" t="s">
        <v>22</v>
      </c>
      <c r="K175" t="s">
        <v>13</v>
      </c>
      <c r="L175">
        <f t="shared" si="6"/>
        <v>2022</v>
      </c>
      <c r="M175" s="13">
        <f t="shared" si="7"/>
        <v>44774</v>
      </c>
      <c r="N175" t="str">
        <f t="shared" si="8"/>
        <v>Online</v>
      </c>
      <c r="O175" t="str">
        <f>IF(Tabla22[[#This Row],[quantity]]&gt;=umbral_grande, "Grande", IF(Tabla22[[#This Row],[quantity]]&gt;=umbral_mediano,"Mediano", "Pequeño"))</f>
        <v>Mediano</v>
      </c>
    </row>
    <row r="176" spans="2:15" x14ac:dyDescent="0.25">
      <c r="B176">
        <v>173</v>
      </c>
      <c r="C176" s="1">
        <v>44946</v>
      </c>
      <c r="D176" t="s">
        <v>27</v>
      </c>
      <c r="E176" t="s">
        <v>18</v>
      </c>
      <c r="F176">
        <v>40</v>
      </c>
      <c r="G176">
        <v>2</v>
      </c>
      <c r="H176">
        <v>80</v>
      </c>
      <c r="I176" t="s">
        <v>19</v>
      </c>
      <c r="J176" t="s">
        <v>12</v>
      </c>
      <c r="K176" t="s">
        <v>13</v>
      </c>
      <c r="L176">
        <f t="shared" si="6"/>
        <v>2023</v>
      </c>
      <c r="M176" s="13">
        <f t="shared" si="7"/>
        <v>44927</v>
      </c>
      <c r="N176" t="str">
        <f t="shared" si="8"/>
        <v>Online</v>
      </c>
      <c r="O176" t="str">
        <f>IF(Tabla22[[#This Row],[quantity]]&gt;=umbral_grande, "Grande", IF(Tabla22[[#This Row],[quantity]]&gt;=umbral_mediano,"Mediano", "Pequeño"))</f>
        <v>Pequeño</v>
      </c>
    </row>
    <row r="177" spans="2:15" x14ac:dyDescent="0.25">
      <c r="B177">
        <v>174</v>
      </c>
      <c r="C177" s="1">
        <v>44807</v>
      </c>
      <c r="D177" t="s">
        <v>10</v>
      </c>
      <c r="E177" t="s">
        <v>11</v>
      </c>
      <c r="F177">
        <v>20</v>
      </c>
      <c r="G177">
        <v>2</v>
      </c>
      <c r="H177">
        <v>40</v>
      </c>
      <c r="I177" t="s">
        <v>19</v>
      </c>
      <c r="J177" t="s">
        <v>12</v>
      </c>
      <c r="K177" t="s">
        <v>20</v>
      </c>
      <c r="L177">
        <f t="shared" si="6"/>
        <v>2022</v>
      </c>
      <c r="M177" s="13">
        <f t="shared" si="7"/>
        <v>44805</v>
      </c>
      <c r="N177" t="str">
        <f t="shared" si="8"/>
        <v>Online</v>
      </c>
      <c r="O177" t="str">
        <f>IF(Tabla22[[#This Row],[quantity]]&gt;=umbral_grande, "Grande", IF(Tabla22[[#This Row],[quantity]]&gt;=umbral_mediano,"Mediano", "Pequeño"))</f>
        <v>Pequeño</v>
      </c>
    </row>
    <row r="178" spans="2:15" x14ac:dyDescent="0.25">
      <c r="B178">
        <v>175</v>
      </c>
      <c r="C178" s="1">
        <v>44851</v>
      </c>
      <c r="D178" t="s">
        <v>24</v>
      </c>
      <c r="E178" t="s">
        <v>11</v>
      </c>
      <c r="F178">
        <v>50</v>
      </c>
      <c r="G178">
        <v>12</v>
      </c>
      <c r="H178">
        <v>600</v>
      </c>
      <c r="I178" t="s">
        <v>15</v>
      </c>
      <c r="J178" t="s">
        <v>22</v>
      </c>
      <c r="K178" t="s">
        <v>16</v>
      </c>
      <c r="L178">
        <f t="shared" si="6"/>
        <v>2022</v>
      </c>
      <c r="M178" s="13">
        <f t="shared" si="7"/>
        <v>44835</v>
      </c>
      <c r="N178" t="str">
        <f t="shared" si="8"/>
        <v>Cash</v>
      </c>
      <c r="O178" t="str">
        <f>IF(Tabla22[[#This Row],[quantity]]&gt;=umbral_grande, "Grande", IF(Tabla22[[#This Row],[quantity]]&gt;=umbral_mediano,"Mediano", "Pequeño"))</f>
        <v>Grande</v>
      </c>
    </row>
    <row r="179" spans="2:15" x14ac:dyDescent="0.25">
      <c r="B179">
        <v>176</v>
      </c>
      <c r="C179" s="1">
        <v>44777</v>
      </c>
      <c r="D179" t="s">
        <v>21</v>
      </c>
      <c r="E179" t="s">
        <v>11</v>
      </c>
      <c r="F179">
        <v>20</v>
      </c>
      <c r="G179">
        <v>1</v>
      </c>
      <c r="H179">
        <v>20</v>
      </c>
      <c r="I179" t="s">
        <v>15</v>
      </c>
      <c r="J179" t="s">
        <v>22</v>
      </c>
      <c r="K179" t="s">
        <v>26</v>
      </c>
      <c r="L179">
        <f t="shared" si="6"/>
        <v>2022</v>
      </c>
      <c r="M179" s="13">
        <f t="shared" si="7"/>
        <v>44774</v>
      </c>
      <c r="N179" t="str">
        <f t="shared" si="8"/>
        <v>Cash</v>
      </c>
      <c r="O179" t="str">
        <f>IF(Tabla22[[#This Row],[quantity]]&gt;=umbral_grande, "Grande", IF(Tabla22[[#This Row],[quantity]]&gt;=umbral_mediano,"Mediano", "Pequeño"))</f>
        <v>Pequeño</v>
      </c>
    </row>
    <row r="180" spans="2:15" x14ac:dyDescent="0.25">
      <c r="B180">
        <v>177</v>
      </c>
      <c r="C180" s="1">
        <v>44763</v>
      </c>
      <c r="D180" t="s">
        <v>21</v>
      </c>
      <c r="E180" t="s">
        <v>11</v>
      </c>
      <c r="F180">
        <v>20</v>
      </c>
      <c r="G180">
        <v>11</v>
      </c>
      <c r="H180">
        <v>220</v>
      </c>
      <c r="I180" t="s">
        <v>19</v>
      </c>
      <c r="J180" t="s">
        <v>22</v>
      </c>
      <c r="K180" t="s">
        <v>23</v>
      </c>
      <c r="L180">
        <f t="shared" si="6"/>
        <v>2022</v>
      </c>
      <c r="M180" s="13">
        <f t="shared" si="7"/>
        <v>44743</v>
      </c>
      <c r="N180" t="str">
        <f t="shared" si="8"/>
        <v>Online</v>
      </c>
      <c r="O180" t="str">
        <f>IF(Tabla22[[#This Row],[quantity]]&gt;=umbral_grande, "Grande", IF(Tabla22[[#This Row],[quantity]]&gt;=umbral_mediano,"Mediano", "Pequeño"))</f>
        <v>Grande</v>
      </c>
    </row>
    <row r="181" spans="2:15" x14ac:dyDescent="0.25">
      <c r="B181">
        <v>178</v>
      </c>
      <c r="C181" s="1">
        <v>44904</v>
      </c>
      <c r="D181" t="s">
        <v>10</v>
      </c>
      <c r="E181" t="s">
        <v>11</v>
      </c>
      <c r="F181">
        <v>20</v>
      </c>
      <c r="G181">
        <v>2</v>
      </c>
      <c r="H181">
        <v>40</v>
      </c>
      <c r="I181" t="s">
        <v>15</v>
      </c>
      <c r="J181" t="s">
        <v>22</v>
      </c>
      <c r="K181" t="s">
        <v>23</v>
      </c>
      <c r="L181">
        <f t="shared" si="6"/>
        <v>2022</v>
      </c>
      <c r="M181" s="13">
        <f t="shared" si="7"/>
        <v>44896</v>
      </c>
      <c r="N181" t="str">
        <f t="shared" si="8"/>
        <v>Cash</v>
      </c>
      <c r="O181" t="str">
        <f>IF(Tabla22[[#This Row],[quantity]]&gt;=umbral_grande, "Grande", IF(Tabla22[[#This Row],[quantity]]&gt;=umbral_mediano,"Mediano", "Pequeño"))</f>
        <v>Pequeño</v>
      </c>
    </row>
    <row r="182" spans="2:15" x14ac:dyDescent="0.25">
      <c r="B182">
        <v>179</v>
      </c>
      <c r="C182" s="1">
        <v>44988</v>
      </c>
      <c r="D182" t="s">
        <v>17</v>
      </c>
      <c r="E182" t="s">
        <v>18</v>
      </c>
      <c r="F182">
        <v>25</v>
      </c>
      <c r="G182">
        <v>5</v>
      </c>
      <c r="H182">
        <v>125</v>
      </c>
      <c r="J182" t="s">
        <v>22</v>
      </c>
      <c r="K182" t="s">
        <v>26</v>
      </c>
      <c r="L182">
        <f t="shared" si="6"/>
        <v>2023</v>
      </c>
      <c r="M182" s="13">
        <f t="shared" si="7"/>
        <v>44986</v>
      </c>
      <c r="N182" t="str">
        <f t="shared" si="8"/>
        <v>Sin registrar</v>
      </c>
      <c r="O182" t="str">
        <f>IF(Tabla22[[#This Row],[quantity]]&gt;=umbral_grande, "Grande", IF(Tabla22[[#This Row],[quantity]]&gt;=umbral_mediano,"Mediano", "Pequeño"))</f>
        <v>Pequeño</v>
      </c>
    </row>
    <row r="183" spans="2:15" x14ac:dyDescent="0.25">
      <c r="B183">
        <v>180</v>
      </c>
      <c r="C183" s="1">
        <v>44896</v>
      </c>
      <c r="D183" t="s">
        <v>14</v>
      </c>
      <c r="E183" t="s">
        <v>11</v>
      </c>
      <c r="F183">
        <v>20</v>
      </c>
      <c r="G183">
        <v>6</v>
      </c>
      <c r="H183">
        <v>120</v>
      </c>
      <c r="I183" t="s">
        <v>19</v>
      </c>
      <c r="J183" t="s">
        <v>22</v>
      </c>
      <c r="K183" t="s">
        <v>16</v>
      </c>
      <c r="L183">
        <f t="shared" si="6"/>
        <v>2022</v>
      </c>
      <c r="M183" s="13">
        <f t="shared" si="7"/>
        <v>44896</v>
      </c>
      <c r="N183" t="str">
        <f t="shared" si="8"/>
        <v>Online</v>
      </c>
      <c r="O183" t="str">
        <f>IF(Tabla22[[#This Row],[quantity]]&gt;=umbral_grande, "Grande", IF(Tabla22[[#This Row],[quantity]]&gt;=umbral_mediano,"Mediano", "Pequeño"))</f>
        <v>Mediano</v>
      </c>
    </row>
    <row r="184" spans="2:15" x14ac:dyDescent="0.25">
      <c r="B184">
        <v>181</v>
      </c>
      <c r="C184" s="1">
        <v>44721</v>
      </c>
      <c r="D184" t="s">
        <v>27</v>
      </c>
      <c r="E184" t="s">
        <v>18</v>
      </c>
      <c r="F184">
        <v>40</v>
      </c>
      <c r="G184">
        <v>7</v>
      </c>
      <c r="H184">
        <v>280</v>
      </c>
      <c r="I184" t="s">
        <v>15</v>
      </c>
      <c r="J184" t="s">
        <v>22</v>
      </c>
      <c r="K184" t="s">
        <v>13</v>
      </c>
      <c r="L184">
        <f t="shared" si="6"/>
        <v>2022</v>
      </c>
      <c r="M184" s="13">
        <f t="shared" si="7"/>
        <v>44713</v>
      </c>
      <c r="N184" t="str">
        <f t="shared" si="8"/>
        <v>Cash</v>
      </c>
      <c r="O184" t="str">
        <f>IF(Tabla22[[#This Row],[quantity]]&gt;=umbral_grande, "Grande", IF(Tabla22[[#This Row],[quantity]]&gt;=umbral_mediano,"Mediano", "Pequeño"))</f>
        <v>Mediano</v>
      </c>
    </row>
    <row r="185" spans="2:15" x14ac:dyDescent="0.25">
      <c r="B185">
        <v>182</v>
      </c>
      <c r="C185" s="1">
        <v>44744</v>
      </c>
      <c r="D185" t="s">
        <v>27</v>
      </c>
      <c r="E185" t="s">
        <v>18</v>
      </c>
      <c r="F185">
        <v>40</v>
      </c>
      <c r="G185">
        <v>1</v>
      </c>
      <c r="H185">
        <v>40</v>
      </c>
      <c r="I185" t="s">
        <v>15</v>
      </c>
      <c r="J185" t="s">
        <v>12</v>
      </c>
      <c r="K185" t="s">
        <v>26</v>
      </c>
      <c r="L185">
        <f t="shared" si="6"/>
        <v>2022</v>
      </c>
      <c r="M185" s="13">
        <f t="shared" si="7"/>
        <v>44743</v>
      </c>
      <c r="N185" t="str">
        <f t="shared" si="8"/>
        <v>Cash</v>
      </c>
      <c r="O185" t="str">
        <f>IF(Tabla22[[#This Row],[quantity]]&gt;=umbral_grande, "Grande", IF(Tabla22[[#This Row],[quantity]]&gt;=umbral_mediano,"Mediano", "Pequeño"))</f>
        <v>Pequeño</v>
      </c>
    </row>
    <row r="186" spans="2:15" x14ac:dyDescent="0.25">
      <c r="B186">
        <v>183</v>
      </c>
      <c r="C186" s="1">
        <v>44752</v>
      </c>
      <c r="D186" t="s">
        <v>17</v>
      </c>
      <c r="E186" t="s">
        <v>18</v>
      </c>
      <c r="F186">
        <v>25</v>
      </c>
      <c r="G186">
        <v>5</v>
      </c>
      <c r="H186">
        <v>125</v>
      </c>
      <c r="I186" t="s">
        <v>15</v>
      </c>
      <c r="J186" t="s">
        <v>22</v>
      </c>
      <c r="K186" t="s">
        <v>26</v>
      </c>
      <c r="L186">
        <f t="shared" si="6"/>
        <v>2022</v>
      </c>
      <c r="M186" s="13">
        <f t="shared" si="7"/>
        <v>44743</v>
      </c>
      <c r="N186" t="str">
        <f t="shared" si="8"/>
        <v>Cash</v>
      </c>
      <c r="O186" t="str">
        <f>IF(Tabla22[[#This Row],[quantity]]&gt;=umbral_grande, "Grande", IF(Tabla22[[#This Row],[quantity]]&gt;=umbral_mediano,"Mediano", "Pequeño"))</f>
        <v>Pequeño</v>
      </c>
    </row>
    <row r="187" spans="2:15" x14ac:dyDescent="0.25">
      <c r="B187">
        <v>184</v>
      </c>
      <c r="C187" s="1">
        <v>44929</v>
      </c>
      <c r="D187" t="s">
        <v>27</v>
      </c>
      <c r="E187" t="s">
        <v>18</v>
      </c>
      <c r="F187">
        <v>40</v>
      </c>
      <c r="G187">
        <v>8</v>
      </c>
      <c r="H187">
        <v>320</v>
      </c>
      <c r="I187" t="s">
        <v>15</v>
      </c>
      <c r="J187" t="s">
        <v>12</v>
      </c>
      <c r="K187" t="s">
        <v>13</v>
      </c>
      <c r="L187">
        <f t="shared" si="6"/>
        <v>2023</v>
      </c>
      <c r="M187" s="13">
        <f t="shared" si="7"/>
        <v>44927</v>
      </c>
      <c r="N187" t="str">
        <f t="shared" si="8"/>
        <v>Cash</v>
      </c>
      <c r="O187" t="str">
        <f>IF(Tabla22[[#This Row],[quantity]]&gt;=umbral_grande, "Grande", IF(Tabla22[[#This Row],[quantity]]&gt;=umbral_mediano,"Mediano", "Pequeño"))</f>
        <v>Mediano</v>
      </c>
    </row>
    <row r="188" spans="2:15" x14ac:dyDescent="0.25">
      <c r="B188">
        <v>185</v>
      </c>
      <c r="C188" s="1">
        <v>44939</v>
      </c>
      <c r="D188" t="s">
        <v>17</v>
      </c>
      <c r="E188" t="s">
        <v>18</v>
      </c>
      <c r="F188">
        <v>25</v>
      </c>
      <c r="G188">
        <v>15</v>
      </c>
      <c r="H188">
        <v>375</v>
      </c>
      <c r="J188" t="s">
        <v>12</v>
      </c>
      <c r="K188" t="s">
        <v>13</v>
      </c>
      <c r="L188">
        <f t="shared" si="6"/>
        <v>2023</v>
      </c>
      <c r="M188" s="13">
        <f t="shared" si="7"/>
        <v>44927</v>
      </c>
      <c r="N188" t="str">
        <f t="shared" si="8"/>
        <v>Sin registrar</v>
      </c>
      <c r="O188" t="str">
        <f>IF(Tabla22[[#This Row],[quantity]]&gt;=umbral_grande, "Grande", IF(Tabla22[[#This Row],[quantity]]&gt;=umbral_mediano,"Mediano", "Pequeño"))</f>
        <v>Grande</v>
      </c>
    </row>
    <row r="189" spans="2:15" x14ac:dyDescent="0.25">
      <c r="B189">
        <v>186</v>
      </c>
      <c r="C189" s="1">
        <v>45000</v>
      </c>
      <c r="D189" t="s">
        <v>24</v>
      </c>
      <c r="E189" t="s">
        <v>11</v>
      </c>
      <c r="F189">
        <v>50</v>
      </c>
      <c r="G189">
        <v>2</v>
      </c>
      <c r="H189">
        <v>100</v>
      </c>
      <c r="I189" t="s">
        <v>19</v>
      </c>
      <c r="J189" t="s">
        <v>12</v>
      </c>
      <c r="K189" t="s">
        <v>16</v>
      </c>
      <c r="L189">
        <f t="shared" si="6"/>
        <v>2023</v>
      </c>
      <c r="M189" s="13">
        <f t="shared" si="7"/>
        <v>44986</v>
      </c>
      <c r="N189" t="str">
        <f t="shared" si="8"/>
        <v>Online</v>
      </c>
      <c r="O189" t="str">
        <f>IF(Tabla22[[#This Row],[quantity]]&gt;=umbral_grande, "Grande", IF(Tabla22[[#This Row],[quantity]]&gt;=umbral_mediano,"Mediano", "Pequeño"))</f>
        <v>Pequeño</v>
      </c>
    </row>
    <row r="190" spans="2:15" x14ac:dyDescent="0.25">
      <c r="B190">
        <v>187</v>
      </c>
      <c r="C190" s="1">
        <v>44845</v>
      </c>
      <c r="D190" t="s">
        <v>10</v>
      </c>
      <c r="E190" t="s">
        <v>11</v>
      </c>
      <c r="F190">
        <v>20</v>
      </c>
      <c r="G190">
        <v>15</v>
      </c>
      <c r="H190">
        <v>300</v>
      </c>
      <c r="I190" t="s">
        <v>15</v>
      </c>
      <c r="J190" t="s">
        <v>22</v>
      </c>
      <c r="K190" t="s">
        <v>23</v>
      </c>
      <c r="L190">
        <f t="shared" si="6"/>
        <v>2022</v>
      </c>
      <c r="M190" s="13">
        <f t="shared" si="7"/>
        <v>44835</v>
      </c>
      <c r="N190" t="str">
        <f t="shared" si="8"/>
        <v>Cash</v>
      </c>
      <c r="O190" t="str">
        <f>IF(Tabla22[[#This Row],[quantity]]&gt;=umbral_grande, "Grande", IF(Tabla22[[#This Row],[quantity]]&gt;=umbral_mediano,"Mediano", "Pequeño"))</f>
        <v>Grande</v>
      </c>
    </row>
    <row r="191" spans="2:15" x14ac:dyDescent="0.25">
      <c r="B191">
        <v>188</v>
      </c>
      <c r="C191" s="1">
        <v>44923</v>
      </c>
      <c r="D191" t="s">
        <v>21</v>
      </c>
      <c r="E191" t="s">
        <v>11</v>
      </c>
      <c r="F191">
        <v>20</v>
      </c>
      <c r="G191">
        <v>14</v>
      </c>
      <c r="H191">
        <v>280</v>
      </c>
      <c r="I191" t="s">
        <v>15</v>
      </c>
      <c r="J191" t="s">
        <v>22</v>
      </c>
      <c r="K191" t="s">
        <v>13</v>
      </c>
      <c r="L191">
        <f t="shared" si="6"/>
        <v>2022</v>
      </c>
      <c r="M191" s="13">
        <f t="shared" si="7"/>
        <v>44896</v>
      </c>
      <c r="N191" t="str">
        <f t="shared" si="8"/>
        <v>Cash</v>
      </c>
      <c r="O191" t="str">
        <f>IF(Tabla22[[#This Row],[quantity]]&gt;=umbral_grande, "Grande", IF(Tabla22[[#This Row],[quantity]]&gt;=umbral_mediano,"Mediano", "Pequeño"))</f>
        <v>Grande</v>
      </c>
    </row>
    <row r="192" spans="2:15" x14ac:dyDescent="0.25">
      <c r="B192">
        <v>189</v>
      </c>
      <c r="C192" s="1">
        <v>44965</v>
      </c>
      <c r="D192" t="s">
        <v>14</v>
      </c>
      <c r="E192" t="s">
        <v>11</v>
      </c>
      <c r="F192">
        <v>20</v>
      </c>
      <c r="G192">
        <v>12</v>
      </c>
      <c r="H192">
        <v>240</v>
      </c>
      <c r="I192" t="s">
        <v>19</v>
      </c>
      <c r="J192" t="s">
        <v>12</v>
      </c>
      <c r="K192" t="s">
        <v>16</v>
      </c>
      <c r="L192">
        <f t="shared" si="6"/>
        <v>2023</v>
      </c>
      <c r="M192" s="13">
        <f t="shared" si="7"/>
        <v>44958</v>
      </c>
      <c r="N192" t="str">
        <f t="shared" si="8"/>
        <v>Online</v>
      </c>
      <c r="O192" t="str">
        <f>IF(Tabla22[[#This Row],[quantity]]&gt;=umbral_grande, "Grande", IF(Tabla22[[#This Row],[quantity]]&gt;=umbral_mediano,"Mediano", "Pequeño"))</f>
        <v>Grande</v>
      </c>
    </row>
    <row r="193" spans="2:15" x14ac:dyDescent="0.25">
      <c r="B193">
        <v>190</v>
      </c>
      <c r="C193" s="1">
        <v>44677</v>
      </c>
      <c r="D193" t="s">
        <v>27</v>
      </c>
      <c r="E193" t="s">
        <v>18</v>
      </c>
      <c r="F193">
        <v>40</v>
      </c>
      <c r="G193">
        <v>1</v>
      </c>
      <c r="H193">
        <v>40</v>
      </c>
      <c r="I193" t="s">
        <v>19</v>
      </c>
      <c r="J193" t="s">
        <v>12</v>
      </c>
      <c r="K193" t="s">
        <v>20</v>
      </c>
      <c r="L193">
        <f t="shared" si="6"/>
        <v>2022</v>
      </c>
      <c r="M193" s="13">
        <f t="shared" si="7"/>
        <v>44652</v>
      </c>
      <c r="N193" t="str">
        <f t="shared" si="8"/>
        <v>Online</v>
      </c>
      <c r="O193" t="str">
        <f>IF(Tabla22[[#This Row],[quantity]]&gt;=umbral_grande, "Grande", IF(Tabla22[[#This Row],[quantity]]&gt;=umbral_mediano,"Mediano", "Pequeño"))</f>
        <v>Pequeño</v>
      </c>
    </row>
    <row r="194" spans="2:15" x14ac:dyDescent="0.25">
      <c r="B194">
        <v>191</v>
      </c>
      <c r="C194" s="1">
        <v>44701</v>
      </c>
      <c r="D194" t="s">
        <v>17</v>
      </c>
      <c r="E194" t="s">
        <v>18</v>
      </c>
      <c r="F194">
        <v>25</v>
      </c>
      <c r="G194">
        <v>14</v>
      </c>
      <c r="H194">
        <v>350</v>
      </c>
      <c r="I194" t="s">
        <v>15</v>
      </c>
      <c r="J194" t="s">
        <v>22</v>
      </c>
      <c r="K194" t="s">
        <v>23</v>
      </c>
      <c r="L194">
        <f t="shared" si="6"/>
        <v>2022</v>
      </c>
      <c r="M194" s="13">
        <f t="shared" si="7"/>
        <v>44682</v>
      </c>
      <c r="N194" t="str">
        <f t="shared" si="8"/>
        <v>Cash</v>
      </c>
      <c r="O194" t="str">
        <f>IF(Tabla22[[#This Row],[quantity]]&gt;=umbral_grande, "Grande", IF(Tabla22[[#This Row],[quantity]]&gt;=umbral_mediano,"Mediano", "Pequeño"))</f>
        <v>Grande</v>
      </c>
    </row>
    <row r="195" spans="2:15" x14ac:dyDescent="0.25">
      <c r="B195">
        <v>192</v>
      </c>
      <c r="C195" s="1">
        <v>44860</v>
      </c>
      <c r="D195" t="s">
        <v>14</v>
      </c>
      <c r="E195" t="s">
        <v>11</v>
      </c>
      <c r="F195">
        <v>20</v>
      </c>
      <c r="G195">
        <v>2</v>
      </c>
      <c r="H195">
        <v>40</v>
      </c>
      <c r="I195" t="s">
        <v>19</v>
      </c>
      <c r="J195" t="s">
        <v>12</v>
      </c>
      <c r="K195" t="s">
        <v>13</v>
      </c>
      <c r="L195">
        <f t="shared" si="6"/>
        <v>2022</v>
      </c>
      <c r="M195" s="13">
        <f t="shared" si="7"/>
        <v>44835</v>
      </c>
      <c r="N195" t="str">
        <f t="shared" si="8"/>
        <v>Online</v>
      </c>
      <c r="O195" t="str">
        <f>IF(Tabla22[[#This Row],[quantity]]&gt;=umbral_grande, "Grande", IF(Tabla22[[#This Row],[quantity]]&gt;=umbral_mediano,"Mediano", "Pequeño"))</f>
        <v>Pequeño</v>
      </c>
    </row>
    <row r="196" spans="2:15" x14ac:dyDescent="0.25">
      <c r="B196">
        <v>193</v>
      </c>
      <c r="C196" s="1">
        <v>44962</v>
      </c>
      <c r="D196" t="s">
        <v>27</v>
      </c>
      <c r="E196" t="s">
        <v>18</v>
      </c>
      <c r="F196">
        <v>40</v>
      </c>
      <c r="G196">
        <v>15</v>
      </c>
      <c r="H196">
        <v>600</v>
      </c>
      <c r="I196" t="s">
        <v>19</v>
      </c>
      <c r="J196" t="s">
        <v>22</v>
      </c>
      <c r="K196" t="s">
        <v>26</v>
      </c>
      <c r="L196">
        <f t="shared" si="6"/>
        <v>2023</v>
      </c>
      <c r="M196" s="13">
        <f t="shared" si="7"/>
        <v>44958</v>
      </c>
      <c r="N196" t="str">
        <f t="shared" si="8"/>
        <v>Online</v>
      </c>
      <c r="O196" t="str">
        <f>IF(Tabla22[[#This Row],[quantity]]&gt;=umbral_grande, "Grande", IF(Tabla22[[#This Row],[quantity]]&gt;=umbral_mediano,"Mediano", "Pequeño"))</f>
        <v>Grande</v>
      </c>
    </row>
    <row r="197" spans="2:15" x14ac:dyDescent="0.25">
      <c r="B197">
        <v>194</v>
      </c>
      <c r="C197" s="1">
        <v>44910</v>
      </c>
      <c r="D197" t="s">
        <v>14</v>
      </c>
      <c r="E197" t="s">
        <v>11</v>
      </c>
      <c r="F197">
        <v>20</v>
      </c>
      <c r="G197">
        <v>4</v>
      </c>
      <c r="H197">
        <v>80</v>
      </c>
      <c r="I197" t="s">
        <v>15</v>
      </c>
      <c r="J197" t="s">
        <v>22</v>
      </c>
      <c r="K197" t="s">
        <v>23</v>
      </c>
      <c r="L197">
        <f t="shared" ref="L197:L260" si="9">YEAR(C197)</f>
        <v>2022</v>
      </c>
      <c r="M197" s="13">
        <f t="shared" ref="M197:M260" si="10">DATE(YEAR(C197),MONTH(C197),1)</f>
        <v>44896</v>
      </c>
      <c r="N197" t="str">
        <f t="shared" ref="N197:N260" si="11">IF(I197 = "", "Sin registrar",I197)</f>
        <v>Cash</v>
      </c>
      <c r="O197" t="str">
        <f>IF(Tabla22[[#This Row],[quantity]]&gt;=umbral_grande, "Grande", IF(Tabla22[[#This Row],[quantity]]&gt;=umbral_mediano,"Mediano", "Pequeño"))</f>
        <v>Pequeño</v>
      </c>
    </row>
    <row r="198" spans="2:15" x14ac:dyDescent="0.25">
      <c r="B198">
        <v>195</v>
      </c>
      <c r="C198" s="1">
        <v>44674</v>
      </c>
      <c r="D198" t="s">
        <v>25</v>
      </c>
      <c r="E198" t="s">
        <v>11</v>
      </c>
      <c r="F198">
        <v>60</v>
      </c>
      <c r="G198">
        <v>4</v>
      </c>
      <c r="H198">
        <v>240</v>
      </c>
      <c r="I198" t="s">
        <v>15</v>
      </c>
      <c r="J198" t="s">
        <v>22</v>
      </c>
      <c r="K198" t="s">
        <v>13</v>
      </c>
      <c r="L198">
        <f t="shared" si="9"/>
        <v>2022</v>
      </c>
      <c r="M198" s="13">
        <f t="shared" si="10"/>
        <v>44652</v>
      </c>
      <c r="N198" t="str">
        <f t="shared" si="11"/>
        <v>Cash</v>
      </c>
      <c r="O198" t="str">
        <f>IF(Tabla22[[#This Row],[quantity]]&gt;=umbral_grande, "Grande", IF(Tabla22[[#This Row],[quantity]]&gt;=umbral_mediano,"Mediano", "Pequeño"))</f>
        <v>Pequeño</v>
      </c>
    </row>
    <row r="199" spans="2:15" x14ac:dyDescent="0.25">
      <c r="B199">
        <v>196</v>
      </c>
      <c r="C199" s="1">
        <v>44737</v>
      </c>
      <c r="D199" t="s">
        <v>25</v>
      </c>
      <c r="E199" t="s">
        <v>11</v>
      </c>
      <c r="F199">
        <v>60</v>
      </c>
      <c r="G199">
        <v>3</v>
      </c>
      <c r="H199">
        <v>180</v>
      </c>
      <c r="I199" t="s">
        <v>15</v>
      </c>
      <c r="J199" t="s">
        <v>12</v>
      </c>
      <c r="K199" t="s">
        <v>20</v>
      </c>
      <c r="L199">
        <f t="shared" si="9"/>
        <v>2022</v>
      </c>
      <c r="M199" s="13">
        <f t="shared" si="10"/>
        <v>44713</v>
      </c>
      <c r="N199" t="str">
        <f t="shared" si="11"/>
        <v>Cash</v>
      </c>
      <c r="O199" t="str">
        <f>IF(Tabla22[[#This Row],[quantity]]&gt;=umbral_grande, "Grande", IF(Tabla22[[#This Row],[quantity]]&gt;=umbral_mediano,"Mediano", "Pequeño"))</f>
        <v>Pequeño</v>
      </c>
    </row>
    <row r="200" spans="2:15" x14ac:dyDescent="0.25">
      <c r="B200">
        <v>197</v>
      </c>
      <c r="C200" s="1">
        <v>44873</v>
      </c>
      <c r="D200" t="s">
        <v>21</v>
      </c>
      <c r="E200" t="s">
        <v>11</v>
      </c>
      <c r="F200">
        <v>20</v>
      </c>
      <c r="G200">
        <v>10</v>
      </c>
      <c r="H200">
        <v>200</v>
      </c>
      <c r="I200" t="s">
        <v>15</v>
      </c>
      <c r="J200" t="s">
        <v>22</v>
      </c>
      <c r="K200" t="s">
        <v>26</v>
      </c>
      <c r="L200">
        <f t="shared" si="9"/>
        <v>2022</v>
      </c>
      <c r="M200" s="13">
        <f t="shared" si="10"/>
        <v>44866</v>
      </c>
      <c r="N200" t="str">
        <f t="shared" si="11"/>
        <v>Cash</v>
      </c>
      <c r="O200" t="str">
        <f>IF(Tabla22[[#This Row],[quantity]]&gt;=umbral_grande, "Grande", IF(Tabla22[[#This Row],[quantity]]&gt;=umbral_mediano,"Mediano", "Pequeño"))</f>
        <v>Mediano</v>
      </c>
    </row>
    <row r="201" spans="2:15" x14ac:dyDescent="0.25">
      <c r="B201">
        <v>198</v>
      </c>
      <c r="C201" s="1">
        <v>44931</v>
      </c>
      <c r="D201" t="s">
        <v>24</v>
      </c>
      <c r="E201" t="s">
        <v>11</v>
      </c>
      <c r="F201">
        <v>50</v>
      </c>
      <c r="G201">
        <v>15</v>
      </c>
      <c r="H201">
        <v>750</v>
      </c>
      <c r="I201" t="s">
        <v>15</v>
      </c>
      <c r="J201" t="s">
        <v>12</v>
      </c>
      <c r="K201" t="s">
        <v>23</v>
      </c>
      <c r="L201">
        <f t="shared" si="9"/>
        <v>2023</v>
      </c>
      <c r="M201" s="13">
        <f t="shared" si="10"/>
        <v>44927</v>
      </c>
      <c r="N201" t="str">
        <f t="shared" si="11"/>
        <v>Cash</v>
      </c>
      <c r="O201" t="str">
        <f>IF(Tabla22[[#This Row],[quantity]]&gt;=umbral_grande, "Grande", IF(Tabla22[[#This Row],[quantity]]&gt;=umbral_mediano,"Mediano", "Pequeño"))</f>
        <v>Grande</v>
      </c>
    </row>
    <row r="202" spans="2:15" x14ac:dyDescent="0.25">
      <c r="B202">
        <v>199</v>
      </c>
      <c r="C202" s="1">
        <v>44958</v>
      </c>
      <c r="D202" t="s">
        <v>24</v>
      </c>
      <c r="E202" t="s">
        <v>11</v>
      </c>
      <c r="F202">
        <v>50</v>
      </c>
      <c r="G202">
        <v>6</v>
      </c>
      <c r="H202">
        <v>300</v>
      </c>
      <c r="I202" t="s">
        <v>19</v>
      </c>
      <c r="J202" t="s">
        <v>22</v>
      </c>
      <c r="K202" t="s">
        <v>23</v>
      </c>
      <c r="L202">
        <f t="shared" si="9"/>
        <v>2023</v>
      </c>
      <c r="M202" s="13">
        <f t="shared" si="10"/>
        <v>44958</v>
      </c>
      <c r="N202" t="str">
        <f t="shared" si="11"/>
        <v>Online</v>
      </c>
      <c r="O202" t="str">
        <f>IF(Tabla22[[#This Row],[quantity]]&gt;=umbral_grande, "Grande", IF(Tabla22[[#This Row],[quantity]]&gt;=umbral_mediano,"Mediano", "Pequeño"))</f>
        <v>Mediano</v>
      </c>
    </row>
    <row r="203" spans="2:15" x14ac:dyDescent="0.25">
      <c r="B203">
        <v>200</v>
      </c>
      <c r="C203" s="1">
        <v>44920</v>
      </c>
      <c r="D203" t="s">
        <v>27</v>
      </c>
      <c r="E203" t="s">
        <v>18</v>
      </c>
      <c r="F203">
        <v>40</v>
      </c>
      <c r="G203">
        <v>10</v>
      </c>
      <c r="H203">
        <v>400</v>
      </c>
      <c r="I203" t="s">
        <v>15</v>
      </c>
      <c r="J203" t="s">
        <v>22</v>
      </c>
      <c r="K203" t="s">
        <v>23</v>
      </c>
      <c r="L203">
        <f t="shared" si="9"/>
        <v>2022</v>
      </c>
      <c r="M203" s="13">
        <f t="shared" si="10"/>
        <v>44896</v>
      </c>
      <c r="N203" t="str">
        <f t="shared" si="11"/>
        <v>Cash</v>
      </c>
      <c r="O203" t="str">
        <f>IF(Tabla22[[#This Row],[quantity]]&gt;=umbral_grande, "Grande", IF(Tabla22[[#This Row],[quantity]]&gt;=umbral_mediano,"Mediano", "Pequeño"))</f>
        <v>Mediano</v>
      </c>
    </row>
    <row r="204" spans="2:15" x14ac:dyDescent="0.25">
      <c r="B204">
        <v>201</v>
      </c>
      <c r="C204" s="1">
        <v>44742</v>
      </c>
      <c r="D204" t="s">
        <v>21</v>
      </c>
      <c r="E204" t="s">
        <v>11</v>
      </c>
      <c r="F204">
        <v>20</v>
      </c>
      <c r="G204">
        <v>8</v>
      </c>
      <c r="H204">
        <v>160</v>
      </c>
      <c r="I204" t="s">
        <v>15</v>
      </c>
      <c r="J204" t="s">
        <v>12</v>
      </c>
      <c r="K204" t="s">
        <v>23</v>
      </c>
      <c r="L204">
        <f t="shared" si="9"/>
        <v>2022</v>
      </c>
      <c r="M204" s="13">
        <f t="shared" si="10"/>
        <v>44713</v>
      </c>
      <c r="N204" t="str">
        <f t="shared" si="11"/>
        <v>Cash</v>
      </c>
      <c r="O204" t="str">
        <f>IF(Tabla22[[#This Row],[quantity]]&gt;=umbral_grande, "Grande", IF(Tabla22[[#This Row],[quantity]]&gt;=umbral_mediano,"Mediano", "Pequeño"))</f>
        <v>Mediano</v>
      </c>
    </row>
    <row r="205" spans="2:15" x14ac:dyDescent="0.25">
      <c r="B205">
        <v>202</v>
      </c>
      <c r="C205" s="1">
        <v>44825</v>
      </c>
      <c r="D205" t="s">
        <v>10</v>
      </c>
      <c r="E205" t="s">
        <v>11</v>
      </c>
      <c r="F205">
        <v>20</v>
      </c>
      <c r="G205">
        <v>9</v>
      </c>
      <c r="H205">
        <v>180</v>
      </c>
      <c r="I205" t="s">
        <v>15</v>
      </c>
      <c r="J205" t="s">
        <v>12</v>
      </c>
      <c r="K205" t="s">
        <v>16</v>
      </c>
      <c r="L205">
        <f t="shared" si="9"/>
        <v>2022</v>
      </c>
      <c r="M205" s="13">
        <f t="shared" si="10"/>
        <v>44805</v>
      </c>
      <c r="N205" t="str">
        <f t="shared" si="11"/>
        <v>Cash</v>
      </c>
      <c r="O205" t="str">
        <f>IF(Tabla22[[#This Row],[quantity]]&gt;=umbral_grande, "Grande", IF(Tabla22[[#This Row],[quantity]]&gt;=umbral_mediano,"Mediano", "Pequeño"))</f>
        <v>Mediano</v>
      </c>
    </row>
    <row r="206" spans="2:15" x14ac:dyDescent="0.25">
      <c r="B206">
        <v>203</v>
      </c>
      <c r="C206" s="1">
        <v>44662</v>
      </c>
      <c r="D206" t="s">
        <v>14</v>
      </c>
      <c r="E206" t="s">
        <v>11</v>
      </c>
      <c r="F206">
        <v>20</v>
      </c>
      <c r="G206">
        <v>6</v>
      </c>
      <c r="H206">
        <v>120</v>
      </c>
      <c r="I206" t="s">
        <v>19</v>
      </c>
      <c r="J206" t="s">
        <v>22</v>
      </c>
      <c r="K206" t="s">
        <v>26</v>
      </c>
      <c r="L206">
        <f t="shared" si="9"/>
        <v>2022</v>
      </c>
      <c r="M206" s="13">
        <f t="shared" si="10"/>
        <v>44652</v>
      </c>
      <c r="N206" t="str">
        <f t="shared" si="11"/>
        <v>Online</v>
      </c>
      <c r="O206" t="str">
        <f>IF(Tabla22[[#This Row],[quantity]]&gt;=umbral_grande, "Grande", IF(Tabla22[[#This Row],[quantity]]&gt;=umbral_mediano,"Mediano", "Pequeño"))</f>
        <v>Mediano</v>
      </c>
    </row>
    <row r="207" spans="2:15" x14ac:dyDescent="0.25">
      <c r="B207">
        <v>204</v>
      </c>
      <c r="C207" s="1">
        <v>44858</v>
      </c>
      <c r="D207" t="s">
        <v>27</v>
      </c>
      <c r="E207" t="s">
        <v>18</v>
      </c>
      <c r="F207">
        <v>40</v>
      </c>
      <c r="G207">
        <v>7</v>
      </c>
      <c r="H207">
        <v>280</v>
      </c>
      <c r="I207" t="s">
        <v>15</v>
      </c>
      <c r="J207" t="s">
        <v>22</v>
      </c>
      <c r="K207" t="s">
        <v>20</v>
      </c>
      <c r="L207">
        <f t="shared" si="9"/>
        <v>2022</v>
      </c>
      <c r="M207" s="13">
        <f t="shared" si="10"/>
        <v>44835</v>
      </c>
      <c r="N207" t="str">
        <f t="shared" si="11"/>
        <v>Cash</v>
      </c>
      <c r="O207" t="str">
        <f>IF(Tabla22[[#This Row],[quantity]]&gt;=umbral_grande, "Grande", IF(Tabla22[[#This Row],[quantity]]&gt;=umbral_mediano,"Mediano", "Pequeño"))</f>
        <v>Mediano</v>
      </c>
    </row>
    <row r="208" spans="2:15" x14ac:dyDescent="0.25">
      <c r="B208">
        <v>205</v>
      </c>
      <c r="C208" s="1">
        <v>44851</v>
      </c>
      <c r="D208" t="s">
        <v>14</v>
      </c>
      <c r="E208" t="s">
        <v>11</v>
      </c>
      <c r="F208">
        <v>20</v>
      </c>
      <c r="G208">
        <v>4</v>
      </c>
      <c r="H208">
        <v>80</v>
      </c>
      <c r="J208" t="s">
        <v>12</v>
      </c>
      <c r="K208" t="s">
        <v>16</v>
      </c>
      <c r="L208">
        <f t="shared" si="9"/>
        <v>2022</v>
      </c>
      <c r="M208" s="13">
        <f t="shared" si="10"/>
        <v>44835</v>
      </c>
      <c r="N208" t="str">
        <f t="shared" si="11"/>
        <v>Sin registrar</v>
      </c>
      <c r="O208" t="str">
        <f>IF(Tabla22[[#This Row],[quantity]]&gt;=umbral_grande, "Grande", IF(Tabla22[[#This Row],[quantity]]&gt;=umbral_mediano,"Mediano", "Pequeño"))</f>
        <v>Pequeño</v>
      </c>
    </row>
    <row r="209" spans="2:15" x14ac:dyDescent="0.25">
      <c r="B209">
        <v>206</v>
      </c>
      <c r="C209" s="1">
        <v>44769</v>
      </c>
      <c r="D209" t="s">
        <v>10</v>
      </c>
      <c r="E209" t="s">
        <v>11</v>
      </c>
      <c r="F209">
        <v>20</v>
      </c>
      <c r="G209">
        <v>4</v>
      </c>
      <c r="H209">
        <v>80</v>
      </c>
      <c r="I209" t="s">
        <v>15</v>
      </c>
      <c r="J209" t="s">
        <v>12</v>
      </c>
      <c r="K209" t="s">
        <v>13</v>
      </c>
      <c r="L209">
        <f t="shared" si="9"/>
        <v>2022</v>
      </c>
      <c r="M209" s="13">
        <f t="shared" si="10"/>
        <v>44743</v>
      </c>
      <c r="N209" t="str">
        <f t="shared" si="11"/>
        <v>Cash</v>
      </c>
      <c r="O209" t="str">
        <f>IF(Tabla22[[#This Row],[quantity]]&gt;=umbral_grande, "Grande", IF(Tabla22[[#This Row],[quantity]]&gt;=umbral_mediano,"Mediano", "Pequeño"))</f>
        <v>Pequeño</v>
      </c>
    </row>
    <row r="210" spans="2:15" x14ac:dyDescent="0.25">
      <c r="B210">
        <v>207</v>
      </c>
      <c r="C210" s="1">
        <v>44977</v>
      </c>
      <c r="D210" t="s">
        <v>27</v>
      </c>
      <c r="E210" t="s">
        <v>18</v>
      </c>
      <c r="F210">
        <v>40</v>
      </c>
      <c r="G210">
        <v>8</v>
      </c>
      <c r="H210">
        <v>320</v>
      </c>
      <c r="I210" t="s">
        <v>19</v>
      </c>
      <c r="J210" t="s">
        <v>22</v>
      </c>
      <c r="K210" t="s">
        <v>20</v>
      </c>
      <c r="L210">
        <f t="shared" si="9"/>
        <v>2023</v>
      </c>
      <c r="M210" s="13">
        <f t="shared" si="10"/>
        <v>44958</v>
      </c>
      <c r="N210" t="str">
        <f t="shared" si="11"/>
        <v>Online</v>
      </c>
      <c r="O210" t="str">
        <f>IF(Tabla22[[#This Row],[quantity]]&gt;=umbral_grande, "Grande", IF(Tabla22[[#This Row],[quantity]]&gt;=umbral_mediano,"Mediano", "Pequeño"))</f>
        <v>Mediano</v>
      </c>
    </row>
    <row r="211" spans="2:15" x14ac:dyDescent="0.25">
      <c r="B211">
        <v>208</v>
      </c>
      <c r="C211" s="1">
        <v>44799</v>
      </c>
      <c r="D211" t="s">
        <v>27</v>
      </c>
      <c r="E211" t="s">
        <v>18</v>
      </c>
      <c r="F211">
        <v>40</v>
      </c>
      <c r="G211">
        <v>13</v>
      </c>
      <c r="H211">
        <v>520</v>
      </c>
      <c r="I211" t="s">
        <v>15</v>
      </c>
      <c r="J211" t="s">
        <v>22</v>
      </c>
      <c r="K211" t="s">
        <v>26</v>
      </c>
      <c r="L211">
        <f t="shared" si="9"/>
        <v>2022</v>
      </c>
      <c r="M211" s="13">
        <f t="shared" si="10"/>
        <v>44774</v>
      </c>
      <c r="N211" t="str">
        <f t="shared" si="11"/>
        <v>Cash</v>
      </c>
      <c r="O211" t="str">
        <f>IF(Tabla22[[#This Row],[quantity]]&gt;=umbral_grande, "Grande", IF(Tabla22[[#This Row],[quantity]]&gt;=umbral_mediano,"Mediano", "Pequeño"))</f>
        <v>Grande</v>
      </c>
    </row>
    <row r="212" spans="2:15" x14ac:dyDescent="0.25">
      <c r="B212">
        <v>209</v>
      </c>
      <c r="C212" s="1">
        <v>44899</v>
      </c>
      <c r="D212" t="s">
        <v>10</v>
      </c>
      <c r="E212" t="s">
        <v>11</v>
      </c>
      <c r="F212">
        <v>20</v>
      </c>
      <c r="G212">
        <v>2</v>
      </c>
      <c r="H212">
        <v>40</v>
      </c>
      <c r="I212" t="s">
        <v>15</v>
      </c>
      <c r="J212" t="s">
        <v>12</v>
      </c>
      <c r="K212" t="s">
        <v>13</v>
      </c>
      <c r="L212">
        <f t="shared" si="9"/>
        <v>2022</v>
      </c>
      <c r="M212" s="13">
        <f t="shared" si="10"/>
        <v>44896</v>
      </c>
      <c r="N212" t="str">
        <f t="shared" si="11"/>
        <v>Cash</v>
      </c>
      <c r="O212" t="str">
        <f>IF(Tabla22[[#This Row],[quantity]]&gt;=umbral_grande, "Grande", IF(Tabla22[[#This Row],[quantity]]&gt;=umbral_mediano,"Mediano", "Pequeño"))</f>
        <v>Pequeño</v>
      </c>
    </row>
    <row r="213" spans="2:15" x14ac:dyDescent="0.25">
      <c r="B213">
        <v>210</v>
      </c>
      <c r="C213" s="1">
        <v>44928</v>
      </c>
      <c r="D213" t="s">
        <v>17</v>
      </c>
      <c r="E213" t="s">
        <v>18</v>
      </c>
      <c r="F213">
        <v>25</v>
      </c>
      <c r="G213">
        <v>15</v>
      </c>
      <c r="H213">
        <v>375</v>
      </c>
      <c r="J213" t="s">
        <v>12</v>
      </c>
      <c r="K213" t="s">
        <v>13</v>
      </c>
      <c r="L213">
        <f t="shared" si="9"/>
        <v>2023</v>
      </c>
      <c r="M213" s="13">
        <f t="shared" si="10"/>
        <v>44927</v>
      </c>
      <c r="N213" t="str">
        <f t="shared" si="11"/>
        <v>Sin registrar</v>
      </c>
      <c r="O213" t="str">
        <f>IF(Tabla22[[#This Row],[quantity]]&gt;=umbral_grande, "Grande", IF(Tabla22[[#This Row],[quantity]]&gt;=umbral_mediano,"Mediano", "Pequeño"))</f>
        <v>Grande</v>
      </c>
    </row>
    <row r="214" spans="2:15" x14ac:dyDescent="0.25">
      <c r="B214">
        <v>211</v>
      </c>
      <c r="C214" s="1">
        <v>44669</v>
      </c>
      <c r="D214" t="s">
        <v>10</v>
      </c>
      <c r="E214" t="s">
        <v>11</v>
      </c>
      <c r="F214">
        <v>20</v>
      </c>
      <c r="G214">
        <v>12</v>
      </c>
      <c r="H214">
        <v>240</v>
      </c>
      <c r="I214" t="s">
        <v>15</v>
      </c>
      <c r="J214" t="s">
        <v>12</v>
      </c>
      <c r="K214" t="s">
        <v>23</v>
      </c>
      <c r="L214">
        <f t="shared" si="9"/>
        <v>2022</v>
      </c>
      <c r="M214" s="13">
        <f t="shared" si="10"/>
        <v>44652</v>
      </c>
      <c r="N214" t="str">
        <f t="shared" si="11"/>
        <v>Cash</v>
      </c>
      <c r="O214" t="str">
        <f>IF(Tabla22[[#This Row],[quantity]]&gt;=umbral_grande, "Grande", IF(Tabla22[[#This Row],[quantity]]&gt;=umbral_mediano,"Mediano", "Pequeño"))</f>
        <v>Grande</v>
      </c>
    </row>
    <row r="215" spans="2:15" x14ac:dyDescent="0.25">
      <c r="B215">
        <v>212</v>
      </c>
      <c r="C215" s="1">
        <v>44686</v>
      </c>
      <c r="D215" t="s">
        <v>27</v>
      </c>
      <c r="E215" t="s">
        <v>18</v>
      </c>
      <c r="F215">
        <v>40</v>
      </c>
      <c r="G215">
        <v>12</v>
      </c>
      <c r="H215">
        <v>480</v>
      </c>
      <c r="I215" t="s">
        <v>19</v>
      </c>
      <c r="J215" t="s">
        <v>22</v>
      </c>
      <c r="K215" t="s">
        <v>23</v>
      </c>
      <c r="L215">
        <f t="shared" si="9"/>
        <v>2022</v>
      </c>
      <c r="M215" s="13">
        <f t="shared" si="10"/>
        <v>44682</v>
      </c>
      <c r="N215" t="str">
        <f t="shared" si="11"/>
        <v>Online</v>
      </c>
      <c r="O215" t="str">
        <f>IF(Tabla22[[#This Row],[quantity]]&gt;=umbral_grande, "Grande", IF(Tabla22[[#This Row],[quantity]]&gt;=umbral_mediano,"Mediano", "Pequeño"))</f>
        <v>Grande</v>
      </c>
    </row>
    <row r="216" spans="2:15" x14ac:dyDescent="0.25">
      <c r="B216">
        <v>213</v>
      </c>
      <c r="C216" s="1">
        <v>44833</v>
      </c>
      <c r="D216" t="s">
        <v>14</v>
      </c>
      <c r="E216" t="s">
        <v>11</v>
      </c>
      <c r="F216">
        <v>20</v>
      </c>
      <c r="G216">
        <v>3</v>
      </c>
      <c r="H216">
        <v>60</v>
      </c>
      <c r="J216" t="s">
        <v>22</v>
      </c>
      <c r="K216" t="s">
        <v>26</v>
      </c>
      <c r="L216">
        <f t="shared" si="9"/>
        <v>2022</v>
      </c>
      <c r="M216" s="13">
        <f t="shared" si="10"/>
        <v>44805</v>
      </c>
      <c r="N216" t="str">
        <f t="shared" si="11"/>
        <v>Sin registrar</v>
      </c>
      <c r="O216" t="str">
        <f>IF(Tabla22[[#This Row],[quantity]]&gt;=umbral_grande, "Grande", IF(Tabla22[[#This Row],[quantity]]&gt;=umbral_mediano,"Mediano", "Pequeño"))</f>
        <v>Pequeño</v>
      </c>
    </row>
    <row r="217" spans="2:15" x14ac:dyDescent="0.25">
      <c r="B217">
        <v>214</v>
      </c>
      <c r="C217" s="1">
        <v>44898</v>
      </c>
      <c r="D217" t="s">
        <v>17</v>
      </c>
      <c r="E217" t="s">
        <v>18</v>
      </c>
      <c r="F217">
        <v>25</v>
      </c>
      <c r="G217">
        <v>14</v>
      </c>
      <c r="H217">
        <v>350</v>
      </c>
      <c r="I217" t="s">
        <v>19</v>
      </c>
      <c r="J217" t="s">
        <v>12</v>
      </c>
      <c r="K217" t="s">
        <v>20</v>
      </c>
      <c r="L217">
        <f t="shared" si="9"/>
        <v>2022</v>
      </c>
      <c r="M217" s="13">
        <f t="shared" si="10"/>
        <v>44896</v>
      </c>
      <c r="N217" t="str">
        <f t="shared" si="11"/>
        <v>Online</v>
      </c>
      <c r="O217" t="str">
        <f>IF(Tabla22[[#This Row],[quantity]]&gt;=umbral_grande, "Grande", IF(Tabla22[[#This Row],[quantity]]&gt;=umbral_mediano,"Mediano", "Pequeño"))</f>
        <v>Grande</v>
      </c>
    </row>
    <row r="218" spans="2:15" x14ac:dyDescent="0.25">
      <c r="B218">
        <v>215</v>
      </c>
      <c r="C218" s="1">
        <v>44905</v>
      </c>
      <c r="D218" t="s">
        <v>17</v>
      </c>
      <c r="E218" t="s">
        <v>18</v>
      </c>
      <c r="F218">
        <v>25</v>
      </c>
      <c r="G218">
        <v>7</v>
      </c>
      <c r="H218">
        <v>175</v>
      </c>
      <c r="J218" t="s">
        <v>22</v>
      </c>
      <c r="K218" t="s">
        <v>23</v>
      </c>
      <c r="L218">
        <f t="shared" si="9"/>
        <v>2022</v>
      </c>
      <c r="M218" s="13">
        <f t="shared" si="10"/>
        <v>44896</v>
      </c>
      <c r="N218" t="str">
        <f t="shared" si="11"/>
        <v>Sin registrar</v>
      </c>
      <c r="O218" t="str">
        <f>IF(Tabla22[[#This Row],[quantity]]&gt;=umbral_grande, "Grande", IF(Tabla22[[#This Row],[quantity]]&gt;=umbral_mediano,"Mediano", "Pequeño"))</f>
        <v>Mediano</v>
      </c>
    </row>
    <row r="219" spans="2:15" x14ac:dyDescent="0.25">
      <c r="B219">
        <v>216</v>
      </c>
      <c r="C219" s="1">
        <v>44992</v>
      </c>
      <c r="D219" t="s">
        <v>21</v>
      </c>
      <c r="E219" t="s">
        <v>11</v>
      </c>
      <c r="F219">
        <v>20</v>
      </c>
      <c r="G219">
        <v>9</v>
      </c>
      <c r="H219">
        <v>180</v>
      </c>
      <c r="I219" t="s">
        <v>15</v>
      </c>
      <c r="J219" t="s">
        <v>22</v>
      </c>
      <c r="K219" t="s">
        <v>16</v>
      </c>
      <c r="L219">
        <f t="shared" si="9"/>
        <v>2023</v>
      </c>
      <c r="M219" s="13">
        <f t="shared" si="10"/>
        <v>44986</v>
      </c>
      <c r="N219" t="str">
        <f t="shared" si="11"/>
        <v>Cash</v>
      </c>
      <c r="O219" t="str">
        <f>IF(Tabla22[[#This Row],[quantity]]&gt;=umbral_grande, "Grande", IF(Tabla22[[#This Row],[quantity]]&gt;=umbral_mediano,"Mediano", "Pequeño"))</f>
        <v>Mediano</v>
      </c>
    </row>
    <row r="220" spans="2:15" x14ac:dyDescent="0.25">
      <c r="B220">
        <v>217</v>
      </c>
      <c r="C220" s="1">
        <v>45008</v>
      </c>
      <c r="D220" t="s">
        <v>27</v>
      </c>
      <c r="E220" t="s">
        <v>18</v>
      </c>
      <c r="F220">
        <v>40</v>
      </c>
      <c r="G220">
        <v>10</v>
      </c>
      <c r="H220">
        <v>400</v>
      </c>
      <c r="I220" t="s">
        <v>15</v>
      </c>
      <c r="J220" t="s">
        <v>12</v>
      </c>
      <c r="K220" t="s">
        <v>23</v>
      </c>
      <c r="L220">
        <f t="shared" si="9"/>
        <v>2023</v>
      </c>
      <c r="M220" s="13">
        <f t="shared" si="10"/>
        <v>44986</v>
      </c>
      <c r="N220" t="str">
        <f t="shared" si="11"/>
        <v>Cash</v>
      </c>
      <c r="O220" t="str">
        <f>IF(Tabla22[[#This Row],[quantity]]&gt;=umbral_grande, "Grande", IF(Tabla22[[#This Row],[quantity]]&gt;=umbral_mediano,"Mediano", "Pequeño"))</f>
        <v>Mediano</v>
      </c>
    </row>
    <row r="221" spans="2:15" x14ac:dyDescent="0.25">
      <c r="B221">
        <v>218</v>
      </c>
      <c r="C221" s="1">
        <v>44918</v>
      </c>
      <c r="D221" t="s">
        <v>27</v>
      </c>
      <c r="E221" t="s">
        <v>18</v>
      </c>
      <c r="F221">
        <v>40</v>
      </c>
      <c r="G221">
        <v>13</v>
      </c>
      <c r="H221">
        <v>520</v>
      </c>
      <c r="I221" t="s">
        <v>19</v>
      </c>
      <c r="J221" t="s">
        <v>22</v>
      </c>
      <c r="K221" t="s">
        <v>26</v>
      </c>
      <c r="L221">
        <f t="shared" si="9"/>
        <v>2022</v>
      </c>
      <c r="M221" s="13">
        <f t="shared" si="10"/>
        <v>44896</v>
      </c>
      <c r="N221" t="str">
        <f t="shared" si="11"/>
        <v>Online</v>
      </c>
      <c r="O221" t="str">
        <f>IF(Tabla22[[#This Row],[quantity]]&gt;=umbral_grande, "Grande", IF(Tabla22[[#This Row],[quantity]]&gt;=umbral_mediano,"Mediano", "Pequeño"))</f>
        <v>Grande</v>
      </c>
    </row>
    <row r="222" spans="2:15" x14ac:dyDescent="0.25">
      <c r="B222">
        <v>219</v>
      </c>
      <c r="C222" s="1">
        <v>44835</v>
      </c>
      <c r="D222" t="s">
        <v>10</v>
      </c>
      <c r="E222" t="s">
        <v>11</v>
      </c>
      <c r="F222">
        <v>20</v>
      </c>
      <c r="G222">
        <v>9</v>
      </c>
      <c r="H222">
        <v>180</v>
      </c>
      <c r="I222" t="s">
        <v>15</v>
      </c>
      <c r="J222" t="s">
        <v>22</v>
      </c>
      <c r="K222" t="s">
        <v>20</v>
      </c>
      <c r="L222">
        <f t="shared" si="9"/>
        <v>2022</v>
      </c>
      <c r="M222" s="13">
        <f t="shared" si="10"/>
        <v>44835</v>
      </c>
      <c r="N222" t="str">
        <f t="shared" si="11"/>
        <v>Cash</v>
      </c>
      <c r="O222" t="str">
        <f>IF(Tabla22[[#This Row],[quantity]]&gt;=umbral_grande, "Grande", IF(Tabla22[[#This Row],[quantity]]&gt;=umbral_mediano,"Mediano", "Pequeño"))</f>
        <v>Mediano</v>
      </c>
    </row>
    <row r="223" spans="2:15" x14ac:dyDescent="0.25">
      <c r="B223">
        <v>220</v>
      </c>
      <c r="C223" s="1">
        <v>44694</v>
      </c>
      <c r="D223" t="s">
        <v>17</v>
      </c>
      <c r="E223" t="s">
        <v>18</v>
      </c>
      <c r="F223">
        <v>25</v>
      </c>
      <c r="G223">
        <v>1</v>
      </c>
      <c r="H223">
        <v>25</v>
      </c>
      <c r="I223" t="s">
        <v>15</v>
      </c>
      <c r="J223" t="s">
        <v>12</v>
      </c>
      <c r="K223" t="s">
        <v>16</v>
      </c>
      <c r="L223">
        <f t="shared" si="9"/>
        <v>2022</v>
      </c>
      <c r="M223" s="13">
        <f t="shared" si="10"/>
        <v>44682</v>
      </c>
      <c r="N223" t="str">
        <f t="shared" si="11"/>
        <v>Cash</v>
      </c>
      <c r="O223" t="str">
        <f>IF(Tabla22[[#This Row],[quantity]]&gt;=umbral_grande, "Grande", IF(Tabla22[[#This Row],[quantity]]&gt;=umbral_mediano,"Mediano", "Pequeño"))</f>
        <v>Pequeño</v>
      </c>
    </row>
    <row r="224" spans="2:15" x14ac:dyDescent="0.25">
      <c r="B224">
        <v>221</v>
      </c>
      <c r="C224" s="1">
        <v>45011</v>
      </c>
      <c r="D224" t="s">
        <v>25</v>
      </c>
      <c r="E224" t="s">
        <v>11</v>
      </c>
      <c r="F224">
        <v>60</v>
      </c>
      <c r="G224">
        <v>1</v>
      </c>
      <c r="H224">
        <v>60</v>
      </c>
      <c r="I224" t="s">
        <v>19</v>
      </c>
      <c r="J224" t="s">
        <v>12</v>
      </c>
      <c r="K224" t="s">
        <v>20</v>
      </c>
      <c r="L224">
        <f t="shared" si="9"/>
        <v>2023</v>
      </c>
      <c r="M224" s="13">
        <f t="shared" si="10"/>
        <v>44986</v>
      </c>
      <c r="N224" t="str">
        <f t="shared" si="11"/>
        <v>Online</v>
      </c>
      <c r="O224" t="str">
        <f>IF(Tabla22[[#This Row],[quantity]]&gt;=umbral_grande, "Grande", IF(Tabla22[[#This Row],[quantity]]&gt;=umbral_mediano,"Mediano", "Pequeño"))</f>
        <v>Pequeño</v>
      </c>
    </row>
    <row r="225" spans="2:15" x14ac:dyDescent="0.25">
      <c r="B225">
        <v>222</v>
      </c>
      <c r="C225" s="1">
        <v>44815</v>
      </c>
      <c r="D225" t="s">
        <v>25</v>
      </c>
      <c r="E225" t="s">
        <v>11</v>
      </c>
      <c r="F225">
        <v>60</v>
      </c>
      <c r="G225">
        <v>6</v>
      </c>
      <c r="H225">
        <v>360</v>
      </c>
      <c r="I225" t="s">
        <v>15</v>
      </c>
      <c r="J225" t="s">
        <v>22</v>
      </c>
      <c r="K225" t="s">
        <v>23</v>
      </c>
      <c r="L225">
        <f t="shared" si="9"/>
        <v>2022</v>
      </c>
      <c r="M225" s="13">
        <f t="shared" si="10"/>
        <v>44805</v>
      </c>
      <c r="N225" t="str">
        <f t="shared" si="11"/>
        <v>Cash</v>
      </c>
      <c r="O225" t="str">
        <f>IF(Tabla22[[#This Row],[quantity]]&gt;=umbral_grande, "Grande", IF(Tabla22[[#This Row],[quantity]]&gt;=umbral_mediano,"Mediano", "Pequeño"))</f>
        <v>Mediano</v>
      </c>
    </row>
    <row r="226" spans="2:15" x14ac:dyDescent="0.25">
      <c r="B226">
        <v>223</v>
      </c>
      <c r="C226" s="1">
        <v>44825</v>
      </c>
      <c r="D226" t="s">
        <v>21</v>
      </c>
      <c r="E226" t="s">
        <v>11</v>
      </c>
      <c r="F226">
        <v>20</v>
      </c>
      <c r="G226">
        <v>13</v>
      </c>
      <c r="H226">
        <v>260</v>
      </c>
      <c r="I226" t="s">
        <v>19</v>
      </c>
      <c r="J226" t="s">
        <v>12</v>
      </c>
      <c r="K226" t="s">
        <v>13</v>
      </c>
      <c r="L226">
        <f t="shared" si="9"/>
        <v>2022</v>
      </c>
      <c r="M226" s="13">
        <f t="shared" si="10"/>
        <v>44805</v>
      </c>
      <c r="N226" t="str">
        <f t="shared" si="11"/>
        <v>Online</v>
      </c>
      <c r="O226" t="str">
        <f>IF(Tabla22[[#This Row],[quantity]]&gt;=umbral_grande, "Grande", IF(Tabla22[[#This Row],[quantity]]&gt;=umbral_mediano,"Mediano", "Pequeño"))</f>
        <v>Grande</v>
      </c>
    </row>
    <row r="227" spans="2:15" x14ac:dyDescent="0.25">
      <c r="B227">
        <v>224</v>
      </c>
      <c r="C227" s="1">
        <v>45008</v>
      </c>
      <c r="D227" t="s">
        <v>17</v>
      </c>
      <c r="E227" t="s">
        <v>18</v>
      </c>
      <c r="F227">
        <v>25</v>
      </c>
      <c r="G227">
        <v>14</v>
      </c>
      <c r="H227">
        <v>350</v>
      </c>
      <c r="I227" t="s">
        <v>15</v>
      </c>
      <c r="J227" t="s">
        <v>12</v>
      </c>
      <c r="K227" t="s">
        <v>16</v>
      </c>
      <c r="L227">
        <f t="shared" si="9"/>
        <v>2023</v>
      </c>
      <c r="M227" s="13">
        <f t="shared" si="10"/>
        <v>44986</v>
      </c>
      <c r="N227" t="str">
        <f t="shared" si="11"/>
        <v>Cash</v>
      </c>
      <c r="O227" t="str">
        <f>IF(Tabla22[[#This Row],[quantity]]&gt;=umbral_grande, "Grande", IF(Tabla22[[#This Row],[quantity]]&gt;=umbral_mediano,"Mediano", "Pequeño"))</f>
        <v>Grande</v>
      </c>
    </row>
    <row r="228" spans="2:15" x14ac:dyDescent="0.25">
      <c r="B228">
        <v>225</v>
      </c>
      <c r="C228" s="1">
        <v>45001</v>
      </c>
      <c r="D228" t="s">
        <v>24</v>
      </c>
      <c r="E228" t="s">
        <v>11</v>
      </c>
      <c r="F228">
        <v>50</v>
      </c>
      <c r="G228">
        <v>11</v>
      </c>
      <c r="H228">
        <v>550</v>
      </c>
      <c r="I228" t="s">
        <v>15</v>
      </c>
      <c r="J228" t="s">
        <v>22</v>
      </c>
      <c r="K228" t="s">
        <v>20</v>
      </c>
      <c r="L228">
        <f t="shared" si="9"/>
        <v>2023</v>
      </c>
      <c r="M228" s="13">
        <f t="shared" si="10"/>
        <v>44986</v>
      </c>
      <c r="N228" t="str">
        <f t="shared" si="11"/>
        <v>Cash</v>
      </c>
      <c r="O228" t="str">
        <f>IF(Tabla22[[#This Row],[quantity]]&gt;=umbral_grande, "Grande", IF(Tabla22[[#This Row],[quantity]]&gt;=umbral_mediano,"Mediano", "Pequeño"))</f>
        <v>Grande</v>
      </c>
    </row>
    <row r="229" spans="2:15" x14ac:dyDescent="0.25">
      <c r="B229">
        <v>226</v>
      </c>
      <c r="C229" s="1">
        <v>44907</v>
      </c>
      <c r="D229" t="s">
        <v>10</v>
      </c>
      <c r="E229" t="s">
        <v>11</v>
      </c>
      <c r="F229">
        <v>20</v>
      </c>
      <c r="G229">
        <v>13</v>
      </c>
      <c r="H229">
        <v>260</v>
      </c>
      <c r="I229" t="s">
        <v>19</v>
      </c>
      <c r="J229" t="s">
        <v>22</v>
      </c>
      <c r="K229" t="s">
        <v>16</v>
      </c>
      <c r="L229">
        <f t="shared" si="9"/>
        <v>2022</v>
      </c>
      <c r="M229" s="13">
        <f t="shared" si="10"/>
        <v>44896</v>
      </c>
      <c r="N229" t="str">
        <f t="shared" si="11"/>
        <v>Online</v>
      </c>
      <c r="O229" t="str">
        <f>IF(Tabla22[[#This Row],[quantity]]&gt;=umbral_grande, "Grande", IF(Tabla22[[#This Row],[quantity]]&gt;=umbral_mediano,"Mediano", "Pequeño"))</f>
        <v>Grande</v>
      </c>
    </row>
    <row r="230" spans="2:15" x14ac:dyDescent="0.25">
      <c r="B230">
        <v>227</v>
      </c>
      <c r="C230" s="1">
        <v>44882</v>
      </c>
      <c r="D230" t="s">
        <v>27</v>
      </c>
      <c r="E230" t="s">
        <v>18</v>
      </c>
      <c r="F230">
        <v>40</v>
      </c>
      <c r="G230">
        <v>5</v>
      </c>
      <c r="H230">
        <v>200</v>
      </c>
      <c r="I230" t="s">
        <v>15</v>
      </c>
      <c r="J230" t="s">
        <v>22</v>
      </c>
      <c r="K230" t="s">
        <v>16</v>
      </c>
      <c r="L230">
        <f t="shared" si="9"/>
        <v>2022</v>
      </c>
      <c r="M230" s="13">
        <f t="shared" si="10"/>
        <v>44866</v>
      </c>
      <c r="N230" t="str">
        <f t="shared" si="11"/>
        <v>Cash</v>
      </c>
      <c r="O230" t="str">
        <f>IF(Tabla22[[#This Row],[quantity]]&gt;=umbral_grande, "Grande", IF(Tabla22[[#This Row],[quantity]]&gt;=umbral_mediano,"Mediano", "Pequeño"))</f>
        <v>Pequeño</v>
      </c>
    </row>
    <row r="231" spans="2:15" x14ac:dyDescent="0.25">
      <c r="B231">
        <v>228</v>
      </c>
      <c r="C231" s="1">
        <v>44870</v>
      </c>
      <c r="D231" t="s">
        <v>21</v>
      </c>
      <c r="E231" t="s">
        <v>11</v>
      </c>
      <c r="F231">
        <v>20</v>
      </c>
      <c r="G231">
        <v>8</v>
      </c>
      <c r="H231">
        <v>160</v>
      </c>
      <c r="I231" t="s">
        <v>19</v>
      </c>
      <c r="J231" t="s">
        <v>12</v>
      </c>
      <c r="K231" t="s">
        <v>13</v>
      </c>
      <c r="L231">
        <f t="shared" si="9"/>
        <v>2022</v>
      </c>
      <c r="M231" s="13">
        <f t="shared" si="10"/>
        <v>44866</v>
      </c>
      <c r="N231" t="str">
        <f t="shared" si="11"/>
        <v>Online</v>
      </c>
      <c r="O231" t="str">
        <f>IF(Tabla22[[#This Row],[quantity]]&gt;=umbral_grande, "Grande", IF(Tabla22[[#This Row],[quantity]]&gt;=umbral_mediano,"Mediano", "Pequeño"))</f>
        <v>Mediano</v>
      </c>
    </row>
    <row r="232" spans="2:15" x14ac:dyDescent="0.25">
      <c r="B232">
        <v>229</v>
      </c>
      <c r="C232" s="1">
        <v>44910</v>
      </c>
      <c r="D232" t="s">
        <v>21</v>
      </c>
      <c r="E232" t="s">
        <v>11</v>
      </c>
      <c r="F232">
        <v>20</v>
      </c>
      <c r="G232">
        <v>7</v>
      </c>
      <c r="H232">
        <v>140</v>
      </c>
      <c r="J232" t="s">
        <v>12</v>
      </c>
      <c r="K232" t="s">
        <v>20</v>
      </c>
      <c r="L232">
        <f t="shared" si="9"/>
        <v>2022</v>
      </c>
      <c r="M232" s="13">
        <f t="shared" si="10"/>
        <v>44896</v>
      </c>
      <c r="N232" t="str">
        <f t="shared" si="11"/>
        <v>Sin registrar</v>
      </c>
      <c r="O232" t="str">
        <f>IF(Tabla22[[#This Row],[quantity]]&gt;=umbral_grande, "Grande", IF(Tabla22[[#This Row],[quantity]]&gt;=umbral_mediano,"Mediano", "Pequeño"))</f>
        <v>Mediano</v>
      </c>
    </row>
    <row r="233" spans="2:15" x14ac:dyDescent="0.25">
      <c r="B233">
        <v>230</v>
      </c>
      <c r="C233" s="1">
        <v>44667</v>
      </c>
      <c r="D233" t="s">
        <v>24</v>
      </c>
      <c r="E233" t="s">
        <v>11</v>
      </c>
      <c r="F233">
        <v>50</v>
      </c>
      <c r="G233">
        <v>6</v>
      </c>
      <c r="H233">
        <v>300</v>
      </c>
      <c r="I233" t="s">
        <v>19</v>
      </c>
      <c r="J233" t="s">
        <v>12</v>
      </c>
      <c r="K233" t="s">
        <v>16</v>
      </c>
      <c r="L233">
        <f t="shared" si="9"/>
        <v>2022</v>
      </c>
      <c r="M233" s="13">
        <f t="shared" si="10"/>
        <v>44652</v>
      </c>
      <c r="N233" t="str">
        <f t="shared" si="11"/>
        <v>Online</v>
      </c>
      <c r="O233" t="str">
        <f>IF(Tabla22[[#This Row],[quantity]]&gt;=umbral_grande, "Grande", IF(Tabla22[[#This Row],[quantity]]&gt;=umbral_mediano,"Mediano", "Pequeño"))</f>
        <v>Mediano</v>
      </c>
    </row>
    <row r="234" spans="2:15" x14ac:dyDescent="0.25">
      <c r="B234">
        <v>231</v>
      </c>
      <c r="C234" s="1">
        <v>44667</v>
      </c>
      <c r="D234" t="s">
        <v>17</v>
      </c>
      <c r="E234" t="s">
        <v>18</v>
      </c>
      <c r="F234">
        <v>25</v>
      </c>
      <c r="G234">
        <v>3</v>
      </c>
      <c r="H234">
        <v>75</v>
      </c>
      <c r="J234" t="s">
        <v>12</v>
      </c>
      <c r="K234" t="s">
        <v>13</v>
      </c>
      <c r="L234">
        <f t="shared" si="9"/>
        <v>2022</v>
      </c>
      <c r="M234" s="13">
        <f t="shared" si="10"/>
        <v>44652</v>
      </c>
      <c r="N234" t="str">
        <f t="shared" si="11"/>
        <v>Sin registrar</v>
      </c>
      <c r="O234" t="str">
        <f>IF(Tabla22[[#This Row],[quantity]]&gt;=umbral_grande, "Grande", IF(Tabla22[[#This Row],[quantity]]&gt;=umbral_mediano,"Mediano", "Pequeño"))</f>
        <v>Pequeño</v>
      </c>
    </row>
    <row r="235" spans="2:15" x14ac:dyDescent="0.25">
      <c r="B235">
        <v>232</v>
      </c>
      <c r="C235" s="1">
        <v>44674</v>
      </c>
      <c r="D235" t="s">
        <v>14</v>
      </c>
      <c r="E235" t="s">
        <v>11</v>
      </c>
      <c r="F235">
        <v>20</v>
      </c>
      <c r="G235">
        <v>13</v>
      </c>
      <c r="H235">
        <v>260</v>
      </c>
      <c r="I235" t="s">
        <v>15</v>
      </c>
      <c r="J235" t="s">
        <v>22</v>
      </c>
      <c r="K235" t="s">
        <v>13</v>
      </c>
      <c r="L235">
        <f t="shared" si="9"/>
        <v>2022</v>
      </c>
      <c r="M235" s="13">
        <f t="shared" si="10"/>
        <v>44652</v>
      </c>
      <c r="N235" t="str">
        <f t="shared" si="11"/>
        <v>Cash</v>
      </c>
      <c r="O235" t="str">
        <f>IF(Tabla22[[#This Row],[quantity]]&gt;=umbral_grande, "Grande", IF(Tabla22[[#This Row],[quantity]]&gt;=umbral_mediano,"Mediano", "Pequeño"))</f>
        <v>Grande</v>
      </c>
    </row>
    <row r="236" spans="2:15" x14ac:dyDescent="0.25">
      <c r="B236">
        <v>233</v>
      </c>
      <c r="C236" s="1">
        <v>44773</v>
      </c>
      <c r="D236" t="s">
        <v>21</v>
      </c>
      <c r="E236" t="s">
        <v>11</v>
      </c>
      <c r="F236">
        <v>20</v>
      </c>
      <c r="G236">
        <v>5</v>
      </c>
      <c r="H236">
        <v>100</v>
      </c>
      <c r="I236" t="s">
        <v>15</v>
      </c>
      <c r="J236" t="s">
        <v>12</v>
      </c>
      <c r="K236" t="s">
        <v>23</v>
      </c>
      <c r="L236">
        <f t="shared" si="9"/>
        <v>2022</v>
      </c>
      <c r="M236" s="13">
        <f t="shared" si="10"/>
        <v>44743</v>
      </c>
      <c r="N236" t="str">
        <f t="shared" si="11"/>
        <v>Cash</v>
      </c>
      <c r="O236" t="str">
        <f>IF(Tabla22[[#This Row],[quantity]]&gt;=umbral_grande, "Grande", IF(Tabla22[[#This Row],[quantity]]&gt;=umbral_mediano,"Mediano", "Pequeño"))</f>
        <v>Pequeño</v>
      </c>
    </row>
    <row r="237" spans="2:15" x14ac:dyDescent="0.25">
      <c r="B237">
        <v>234</v>
      </c>
      <c r="C237" s="1">
        <v>44769</v>
      </c>
      <c r="D237" t="s">
        <v>21</v>
      </c>
      <c r="E237" t="s">
        <v>11</v>
      </c>
      <c r="F237">
        <v>20</v>
      </c>
      <c r="G237">
        <v>10</v>
      </c>
      <c r="H237">
        <v>200</v>
      </c>
      <c r="I237" t="s">
        <v>15</v>
      </c>
      <c r="J237" t="s">
        <v>12</v>
      </c>
      <c r="K237" t="s">
        <v>26</v>
      </c>
      <c r="L237">
        <f t="shared" si="9"/>
        <v>2022</v>
      </c>
      <c r="M237" s="13">
        <f t="shared" si="10"/>
        <v>44743</v>
      </c>
      <c r="N237" t="str">
        <f t="shared" si="11"/>
        <v>Cash</v>
      </c>
      <c r="O237" t="str">
        <f>IF(Tabla22[[#This Row],[quantity]]&gt;=umbral_grande, "Grande", IF(Tabla22[[#This Row],[quantity]]&gt;=umbral_mediano,"Mediano", "Pequeño"))</f>
        <v>Mediano</v>
      </c>
    </row>
    <row r="238" spans="2:15" x14ac:dyDescent="0.25">
      <c r="B238">
        <v>235</v>
      </c>
      <c r="C238" s="1">
        <v>44894</v>
      </c>
      <c r="D238" t="s">
        <v>25</v>
      </c>
      <c r="E238" t="s">
        <v>11</v>
      </c>
      <c r="F238">
        <v>60</v>
      </c>
      <c r="G238">
        <v>10</v>
      </c>
      <c r="H238">
        <v>600</v>
      </c>
      <c r="I238" t="s">
        <v>15</v>
      </c>
      <c r="J238" t="s">
        <v>22</v>
      </c>
      <c r="K238" t="s">
        <v>16</v>
      </c>
      <c r="L238">
        <f t="shared" si="9"/>
        <v>2022</v>
      </c>
      <c r="M238" s="13">
        <f t="shared" si="10"/>
        <v>44866</v>
      </c>
      <c r="N238" t="str">
        <f t="shared" si="11"/>
        <v>Cash</v>
      </c>
      <c r="O238" t="str">
        <f>IF(Tabla22[[#This Row],[quantity]]&gt;=umbral_grande, "Grande", IF(Tabla22[[#This Row],[quantity]]&gt;=umbral_mediano,"Mediano", "Pequeño"))</f>
        <v>Mediano</v>
      </c>
    </row>
    <row r="239" spans="2:15" x14ac:dyDescent="0.25">
      <c r="B239">
        <v>236</v>
      </c>
      <c r="C239" s="1">
        <v>44738</v>
      </c>
      <c r="D239" t="s">
        <v>14</v>
      </c>
      <c r="E239" t="s">
        <v>11</v>
      </c>
      <c r="F239">
        <v>20</v>
      </c>
      <c r="G239">
        <v>12</v>
      </c>
      <c r="H239">
        <v>240</v>
      </c>
      <c r="J239" t="s">
        <v>22</v>
      </c>
      <c r="K239" t="s">
        <v>20</v>
      </c>
      <c r="L239">
        <f t="shared" si="9"/>
        <v>2022</v>
      </c>
      <c r="M239" s="13">
        <f t="shared" si="10"/>
        <v>44713</v>
      </c>
      <c r="N239" t="str">
        <f t="shared" si="11"/>
        <v>Sin registrar</v>
      </c>
      <c r="O239" t="str">
        <f>IF(Tabla22[[#This Row],[quantity]]&gt;=umbral_grande, "Grande", IF(Tabla22[[#This Row],[quantity]]&gt;=umbral_mediano,"Mediano", "Pequeño"))</f>
        <v>Grande</v>
      </c>
    </row>
    <row r="240" spans="2:15" x14ac:dyDescent="0.25">
      <c r="B240">
        <v>237</v>
      </c>
      <c r="C240" s="1">
        <v>44873</v>
      </c>
      <c r="D240" t="s">
        <v>21</v>
      </c>
      <c r="E240" t="s">
        <v>11</v>
      </c>
      <c r="F240">
        <v>20</v>
      </c>
      <c r="G240">
        <v>13</v>
      </c>
      <c r="H240">
        <v>260</v>
      </c>
      <c r="I240" t="s">
        <v>15</v>
      </c>
      <c r="J240" t="s">
        <v>22</v>
      </c>
      <c r="K240" t="s">
        <v>26</v>
      </c>
      <c r="L240">
        <f t="shared" si="9"/>
        <v>2022</v>
      </c>
      <c r="M240" s="13">
        <f t="shared" si="10"/>
        <v>44866</v>
      </c>
      <c r="N240" t="str">
        <f t="shared" si="11"/>
        <v>Cash</v>
      </c>
      <c r="O240" t="str">
        <f>IF(Tabla22[[#This Row],[quantity]]&gt;=umbral_grande, "Grande", IF(Tabla22[[#This Row],[quantity]]&gt;=umbral_mediano,"Mediano", "Pequeño"))</f>
        <v>Grande</v>
      </c>
    </row>
    <row r="241" spans="2:15" x14ac:dyDescent="0.25">
      <c r="B241">
        <v>238</v>
      </c>
      <c r="C241" s="1">
        <v>44677</v>
      </c>
      <c r="D241" t="s">
        <v>14</v>
      </c>
      <c r="E241" t="s">
        <v>11</v>
      </c>
      <c r="F241">
        <v>20</v>
      </c>
      <c r="G241">
        <v>13</v>
      </c>
      <c r="H241">
        <v>260</v>
      </c>
      <c r="I241" t="s">
        <v>15</v>
      </c>
      <c r="J241" t="s">
        <v>12</v>
      </c>
      <c r="K241" t="s">
        <v>23</v>
      </c>
      <c r="L241">
        <f t="shared" si="9"/>
        <v>2022</v>
      </c>
      <c r="M241" s="13">
        <f t="shared" si="10"/>
        <v>44652</v>
      </c>
      <c r="N241" t="str">
        <f t="shared" si="11"/>
        <v>Cash</v>
      </c>
      <c r="O241" t="str">
        <f>IF(Tabla22[[#This Row],[quantity]]&gt;=umbral_grande, "Grande", IF(Tabla22[[#This Row],[quantity]]&gt;=umbral_mediano,"Mediano", "Pequeño"))</f>
        <v>Grande</v>
      </c>
    </row>
    <row r="242" spans="2:15" x14ac:dyDescent="0.25">
      <c r="B242">
        <v>239</v>
      </c>
      <c r="C242" s="1">
        <v>44899</v>
      </c>
      <c r="D242" t="s">
        <v>24</v>
      </c>
      <c r="E242" t="s">
        <v>11</v>
      </c>
      <c r="F242">
        <v>50</v>
      </c>
      <c r="G242">
        <v>4</v>
      </c>
      <c r="H242">
        <v>200</v>
      </c>
      <c r="I242" t="s">
        <v>19</v>
      </c>
      <c r="J242" t="s">
        <v>12</v>
      </c>
      <c r="K242" t="s">
        <v>20</v>
      </c>
      <c r="L242">
        <f t="shared" si="9"/>
        <v>2022</v>
      </c>
      <c r="M242" s="13">
        <f t="shared" si="10"/>
        <v>44896</v>
      </c>
      <c r="N242" t="str">
        <f t="shared" si="11"/>
        <v>Online</v>
      </c>
      <c r="O242" t="str">
        <f>IF(Tabla22[[#This Row],[quantity]]&gt;=umbral_grande, "Grande", IF(Tabla22[[#This Row],[quantity]]&gt;=umbral_mediano,"Mediano", "Pequeño"))</f>
        <v>Pequeño</v>
      </c>
    </row>
    <row r="243" spans="2:15" x14ac:dyDescent="0.25">
      <c r="B243">
        <v>240</v>
      </c>
      <c r="C243" s="1">
        <v>44906</v>
      </c>
      <c r="D243" t="s">
        <v>25</v>
      </c>
      <c r="E243" t="s">
        <v>11</v>
      </c>
      <c r="F243">
        <v>60</v>
      </c>
      <c r="G243">
        <v>10</v>
      </c>
      <c r="H243">
        <v>600</v>
      </c>
      <c r="I243" t="s">
        <v>15</v>
      </c>
      <c r="J243" t="s">
        <v>22</v>
      </c>
      <c r="K243" t="s">
        <v>23</v>
      </c>
      <c r="L243">
        <f t="shared" si="9"/>
        <v>2022</v>
      </c>
      <c r="M243" s="13">
        <f t="shared" si="10"/>
        <v>44896</v>
      </c>
      <c r="N243" t="str">
        <f t="shared" si="11"/>
        <v>Cash</v>
      </c>
      <c r="O243" t="str">
        <f>IF(Tabla22[[#This Row],[quantity]]&gt;=umbral_grande, "Grande", IF(Tabla22[[#This Row],[quantity]]&gt;=umbral_mediano,"Mediano", "Pequeño"))</f>
        <v>Mediano</v>
      </c>
    </row>
    <row r="244" spans="2:15" x14ac:dyDescent="0.25">
      <c r="B244">
        <v>241</v>
      </c>
      <c r="C244" s="1">
        <v>44718</v>
      </c>
      <c r="D244" t="s">
        <v>17</v>
      </c>
      <c r="E244" t="s">
        <v>18</v>
      </c>
      <c r="F244">
        <v>25</v>
      </c>
      <c r="G244">
        <v>2</v>
      </c>
      <c r="H244">
        <v>50</v>
      </c>
      <c r="I244" t="s">
        <v>15</v>
      </c>
      <c r="J244" t="s">
        <v>12</v>
      </c>
      <c r="K244" t="s">
        <v>16</v>
      </c>
      <c r="L244">
        <f t="shared" si="9"/>
        <v>2022</v>
      </c>
      <c r="M244" s="13">
        <f t="shared" si="10"/>
        <v>44713</v>
      </c>
      <c r="N244" t="str">
        <f t="shared" si="11"/>
        <v>Cash</v>
      </c>
      <c r="O244" t="str">
        <f>IF(Tabla22[[#This Row],[quantity]]&gt;=umbral_grande, "Grande", IF(Tabla22[[#This Row],[quantity]]&gt;=umbral_mediano,"Mediano", "Pequeño"))</f>
        <v>Pequeño</v>
      </c>
    </row>
    <row r="245" spans="2:15" x14ac:dyDescent="0.25">
      <c r="B245">
        <v>242</v>
      </c>
      <c r="C245" s="1">
        <v>44918</v>
      </c>
      <c r="D245" t="s">
        <v>27</v>
      </c>
      <c r="E245" t="s">
        <v>18</v>
      </c>
      <c r="F245">
        <v>40</v>
      </c>
      <c r="G245">
        <v>4</v>
      </c>
      <c r="H245">
        <v>160</v>
      </c>
      <c r="I245" t="s">
        <v>19</v>
      </c>
      <c r="J245" t="s">
        <v>22</v>
      </c>
      <c r="K245" t="s">
        <v>26</v>
      </c>
      <c r="L245">
        <f t="shared" si="9"/>
        <v>2022</v>
      </c>
      <c r="M245" s="13">
        <f t="shared" si="10"/>
        <v>44896</v>
      </c>
      <c r="N245" t="str">
        <f t="shared" si="11"/>
        <v>Online</v>
      </c>
      <c r="O245" t="str">
        <f>IF(Tabla22[[#This Row],[quantity]]&gt;=umbral_grande, "Grande", IF(Tabla22[[#This Row],[quantity]]&gt;=umbral_mediano,"Mediano", "Pequeño"))</f>
        <v>Pequeño</v>
      </c>
    </row>
    <row r="246" spans="2:15" x14ac:dyDescent="0.25">
      <c r="B246">
        <v>243</v>
      </c>
      <c r="C246" s="1">
        <v>44877</v>
      </c>
      <c r="D246" t="s">
        <v>21</v>
      </c>
      <c r="E246" t="s">
        <v>11</v>
      </c>
      <c r="F246">
        <v>20</v>
      </c>
      <c r="G246">
        <v>5</v>
      </c>
      <c r="H246">
        <v>100</v>
      </c>
      <c r="I246" t="s">
        <v>15</v>
      </c>
      <c r="J246" t="s">
        <v>22</v>
      </c>
      <c r="K246" t="s">
        <v>26</v>
      </c>
      <c r="L246">
        <f t="shared" si="9"/>
        <v>2022</v>
      </c>
      <c r="M246" s="13">
        <f t="shared" si="10"/>
        <v>44866</v>
      </c>
      <c r="N246" t="str">
        <f t="shared" si="11"/>
        <v>Cash</v>
      </c>
      <c r="O246" t="str">
        <f>IF(Tabla22[[#This Row],[quantity]]&gt;=umbral_grande, "Grande", IF(Tabla22[[#This Row],[quantity]]&gt;=umbral_mediano,"Mediano", "Pequeño"))</f>
        <v>Pequeño</v>
      </c>
    </row>
    <row r="247" spans="2:15" x14ac:dyDescent="0.25">
      <c r="B247">
        <v>244</v>
      </c>
      <c r="C247" s="1">
        <v>44887</v>
      </c>
      <c r="D247" t="s">
        <v>25</v>
      </c>
      <c r="E247" t="s">
        <v>11</v>
      </c>
      <c r="F247">
        <v>60</v>
      </c>
      <c r="G247">
        <v>10</v>
      </c>
      <c r="H247">
        <v>600</v>
      </c>
      <c r="I247" t="s">
        <v>19</v>
      </c>
      <c r="J247" t="s">
        <v>22</v>
      </c>
      <c r="K247" t="s">
        <v>26</v>
      </c>
      <c r="L247">
        <f t="shared" si="9"/>
        <v>2022</v>
      </c>
      <c r="M247" s="13">
        <f t="shared" si="10"/>
        <v>44866</v>
      </c>
      <c r="N247" t="str">
        <f t="shared" si="11"/>
        <v>Online</v>
      </c>
      <c r="O247" t="str">
        <f>IF(Tabla22[[#This Row],[quantity]]&gt;=umbral_grande, "Grande", IF(Tabla22[[#This Row],[quantity]]&gt;=umbral_mediano,"Mediano", "Pequeño"))</f>
        <v>Mediano</v>
      </c>
    </row>
    <row r="248" spans="2:15" x14ac:dyDescent="0.25">
      <c r="B248">
        <v>245</v>
      </c>
      <c r="C248" s="1">
        <v>44837</v>
      </c>
      <c r="D248" t="s">
        <v>14</v>
      </c>
      <c r="E248" t="s">
        <v>11</v>
      </c>
      <c r="F248">
        <v>20</v>
      </c>
      <c r="G248">
        <v>2</v>
      </c>
      <c r="H248">
        <v>40</v>
      </c>
      <c r="I248" t="s">
        <v>15</v>
      </c>
      <c r="J248" t="s">
        <v>22</v>
      </c>
      <c r="K248" t="s">
        <v>23</v>
      </c>
      <c r="L248">
        <f t="shared" si="9"/>
        <v>2022</v>
      </c>
      <c r="M248" s="13">
        <f t="shared" si="10"/>
        <v>44835</v>
      </c>
      <c r="N248" t="str">
        <f t="shared" si="11"/>
        <v>Cash</v>
      </c>
      <c r="O248" t="str">
        <f>IF(Tabla22[[#This Row],[quantity]]&gt;=umbral_grande, "Grande", IF(Tabla22[[#This Row],[quantity]]&gt;=umbral_mediano,"Mediano", "Pequeño"))</f>
        <v>Pequeño</v>
      </c>
    </row>
    <row r="249" spans="2:15" x14ac:dyDescent="0.25">
      <c r="B249">
        <v>246</v>
      </c>
      <c r="C249" s="1">
        <v>44881</v>
      </c>
      <c r="D249" t="s">
        <v>14</v>
      </c>
      <c r="E249" t="s">
        <v>11</v>
      </c>
      <c r="F249">
        <v>20</v>
      </c>
      <c r="G249">
        <v>10</v>
      </c>
      <c r="H249">
        <v>200</v>
      </c>
      <c r="I249" t="s">
        <v>15</v>
      </c>
      <c r="J249" t="s">
        <v>12</v>
      </c>
      <c r="K249" t="s">
        <v>16</v>
      </c>
      <c r="L249">
        <f t="shared" si="9"/>
        <v>2022</v>
      </c>
      <c r="M249" s="13">
        <f t="shared" si="10"/>
        <v>44866</v>
      </c>
      <c r="N249" t="str">
        <f t="shared" si="11"/>
        <v>Cash</v>
      </c>
      <c r="O249" t="str">
        <f>IF(Tabla22[[#This Row],[quantity]]&gt;=umbral_grande, "Grande", IF(Tabla22[[#This Row],[quantity]]&gt;=umbral_mediano,"Mediano", "Pequeño"))</f>
        <v>Mediano</v>
      </c>
    </row>
    <row r="250" spans="2:15" x14ac:dyDescent="0.25">
      <c r="B250">
        <v>247</v>
      </c>
      <c r="C250" s="1">
        <v>44837</v>
      </c>
      <c r="D250" t="s">
        <v>17</v>
      </c>
      <c r="E250" t="s">
        <v>18</v>
      </c>
      <c r="F250">
        <v>25</v>
      </c>
      <c r="G250">
        <v>6</v>
      </c>
      <c r="H250">
        <v>150</v>
      </c>
      <c r="J250" t="s">
        <v>12</v>
      </c>
      <c r="K250" t="s">
        <v>26</v>
      </c>
      <c r="L250">
        <f t="shared" si="9"/>
        <v>2022</v>
      </c>
      <c r="M250" s="13">
        <f t="shared" si="10"/>
        <v>44835</v>
      </c>
      <c r="N250" t="str">
        <f t="shared" si="11"/>
        <v>Sin registrar</v>
      </c>
      <c r="O250" t="str">
        <f>IF(Tabla22[[#This Row],[quantity]]&gt;=umbral_grande, "Grande", IF(Tabla22[[#This Row],[quantity]]&gt;=umbral_mediano,"Mediano", "Pequeño"))</f>
        <v>Mediano</v>
      </c>
    </row>
    <row r="251" spans="2:15" x14ac:dyDescent="0.25">
      <c r="B251">
        <v>248</v>
      </c>
      <c r="C251" s="1">
        <v>44668</v>
      </c>
      <c r="D251" t="s">
        <v>24</v>
      </c>
      <c r="E251" t="s">
        <v>11</v>
      </c>
      <c r="F251">
        <v>50</v>
      </c>
      <c r="G251">
        <v>5</v>
      </c>
      <c r="H251">
        <v>250</v>
      </c>
      <c r="I251" t="s">
        <v>19</v>
      </c>
      <c r="J251" t="s">
        <v>22</v>
      </c>
      <c r="K251" t="s">
        <v>26</v>
      </c>
      <c r="L251">
        <f t="shared" si="9"/>
        <v>2022</v>
      </c>
      <c r="M251" s="13">
        <f t="shared" si="10"/>
        <v>44652</v>
      </c>
      <c r="N251" t="str">
        <f t="shared" si="11"/>
        <v>Online</v>
      </c>
      <c r="O251" t="str">
        <f>IF(Tabla22[[#This Row],[quantity]]&gt;=umbral_grande, "Grande", IF(Tabla22[[#This Row],[quantity]]&gt;=umbral_mediano,"Mediano", "Pequeño"))</f>
        <v>Pequeño</v>
      </c>
    </row>
    <row r="252" spans="2:15" x14ac:dyDescent="0.25">
      <c r="B252">
        <v>249</v>
      </c>
      <c r="C252" s="1">
        <v>44860</v>
      </c>
      <c r="D252" t="s">
        <v>17</v>
      </c>
      <c r="E252" t="s">
        <v>18</v>
      </c>
      <c r="F252">
        <v>25</v>
      </c>
      <c r="G252">
        <v>3</v>
      </c>
      <c r="H252">
        <v>75</v>
      </c>
      <c r="I252" t="s">
        <v>19</v>
      </c>
      <c r="J252" t="s">
        <v>22</v>
      </c>
      <c r="K252" t="s">
        <v>16</v>
      </c>
      <c r="L252">
        <f t="shared" si="9"/>
        <v>2022</v>
      </c>
      <c r="M252" s="13">
        <f t="shared" si="10"/>
        <v>44835</v>
      </c>
      <c r="N252" t="str">
        <f t="shared" si="11"/>
        <v>Online</v>
      </c>
      <c r="O252" t="str">
        <f>IF(Tabla22[[#This Row],[quantity]]&gt;=umbral_grande, "Grande", IF(Tabla22[[#This Row],[quantity]]&gt;=umbral_mediano,"Mediano", "Pequeño"))</f>
        <v>Pequeño</v>
      </c>
    </row>
    <row r="253" spans="2:15" x14ac:dyDescent="0.25">
      <c r="B253">
        <v>250</v>
      </c>
      <c r="C253" s="1">
        <v>44880</v>
      </c>
      <c r="D253" t="s">
        <v>17</v>
      </c>
      <c r="E253" t="s">
        <v>18</v>
      </c>
      <c r="F253">
        <v>25</v>
      </c>
      <c r="G253">
        <v>6</v>
      </c>
      <c r="H253">
        <v>150</v>
      </c>
      <c r="I253" t="s">
        <v>19</v>
      </c>
      <c r="J253" t="s">
        <v>22</v>
      </c>
      <c r="K253" t="s">
        <v>26</v>
      </c>
      <c r="L253">
        <f t="shared" si="9"/>
        <v>2022</v>
      </c>
      <c r="M253" s="13">
        <f t="shared" si="10"/>
        <v>44866</v>
      </c>
      <c r="N253" t="str">
        <f t="shared" si="11"/>
        <v>Online</v>
      </c>
      <c r="O253" t="str">
        <f>IF(Tabla22[[#This Row],[quantity]]&gt;=umbral_grande, "Grande", IF(Tabla22[[#This Row],[quantity]]&gt;=umbral_mediano,"Mediano", "Pequeño"))</f>
        <v>Mediano</v>
      </c>
    </row>
    <row r="254" spans="2:15" x14ac:dyDescent="0.25">
      <c r="B254">
        <v>251</v>
      </c>
      <c r="C254" s="1">
        <v>44916</v>
      </c>
      <c r="D254" t="s">
        <v>27</v>
      </c>
      <c r="E254" t="s">
        <v>18</v>
      </c>
      <c r="F254">
        <v>40</v>
      </c>
      <c r="G254">
        <v>13</v>
      </c>
      <c r="H254">
        <v>520</v>
      </c>
      <c r="J254" t="s">
        <v>22</v>
      </c>
      <c r="K254" t="s">
        <v>16</v>
      </c>
      <c r="L254">
        <f t="shared" si="9"/>
        <v>2022</v>
      </c>
      <c r="M254" s="13">
        <f t="shared" si="10"/>
        <v>44896</v>
      </c>
      <c r="N254" t="str">
        <f t="shared" si="11"/>
        <v>Sin registrar</v>
      </c>
      <c r="O254" t="str">
        <f>IF(Tabla22[[#This Row],[quantity]]&gt;=umbral_grande, "Grande", IF(Tabla22[[#This Row],[quantity]]&gt;=umbral_mediano,"Mediano", "Pequeño"))</f>
        <v>Grande</v>
      </c>
    </row>
    <row r="255" spans="2:15" x14ac:dyDescent="0.25">
      <c r="B255">
        <v>252</v>
      </c>
      <c r="C255" s="1">
        <v>45011</v>
      </c>
      <c r="D255" t="s">
        <v>14</v>
      </c>
      <c r="E255" t="s">
        <v>11</v>
      </c>
      <c r="F255">
        <v>20</v>
      </c>
      <c r="G255">
        <v>8</v>
      </c>
      <c r="H255">
        <v>160</v>
      </c>
      <c r="I255" t="s">
        <v>19</v>
      </c>
      <c r="J255" t="s">
        <v>12</v>
      </c>
      <c r="K255" t="s">
        <v>26</v>
      </c>
      <c r="L255">
        <f t="shared" si="9"/>
        <v>2023</v>
      </c>
      <c r="M255" s="13">
        <f t="shared" si="10"/>
        <v>44986</v>
      </c>
      <c r="N255" t="str">
        <f t="shared" si="11"/>
        <v>Online</v>
      </c>
      <c r="O255" t="str">
        <f>IF(Tabla22[[#This Row],[quantity]]&gt;=umbral_grande, "Grande", IF(Tabla22[[#This Row],[quantity]]&gt;=umbral_mediano,"Mediano", "Pequeño"))</f>
        <v>Mediano</v>
      </c>
    </row>
    <row r="256" spans="2:15" x14ac:dyDescent="0.25">
      <c r="B256">
        <v>253</v>
      </c>
      <c r="C256" s="1">
        <v>44730</v>
      </c>
      <c r="D256" t="s">
        <v>17</v>
      </c>
      <c r="E256" t="s">
        <v>18</v>
      </c>
      <c r="F256">
        <v>25</v>
      </c>
      <c r="G256">
        <v>13</v>
      </c>
      <c r="H256">
        <v>325</v>
      </c>
      <c r="I256" t="s">
        <v>19</v>
      </c>
      <c r="J256" t="s">
        <v>12</v>
      </c>
      <c r="K256" t="s">
        <v>16</v>
      </c>
      <c r="L256">
        <f t="shared" si="9"/>
        <v>2022</v>
      </c>
      <c r="M256" s="13">
        <f t="shared" si="10"/>
        <v>44713</v>
      </c>
      <c r="N256" t="str">
        <f t="shared" si="11"/>
        <v>Online</v>
      </c>
      <c r="O256" t="str">
        <f>IF(Tabla22[[#This Row],[quantity]]&gt;=umbral_grande, "Grande", IF(Tabla22[[#This Row],[quantity]]&gt;=umbral_mediano,"Mediano", "Pequeño"))</f>
        <v>Grande</v>
      </c>
    </row>
    <row r="257" spans="2:15" x14ac:dyDescent="0.25">
      <c r="B257">
        <v>254</v>
      </c>
      <c r="C257" s="1">
        <v>44843</v>
      </c>
      <c r="D257" t="s">
        <v>27</v>
      </c>
      <c r="E257" t="s">
        <v>18</v>
      </c>
      <c r="F257">
        <v>40</v>
      </c>
      <c r="G257">
        <v>12</v>
      </c>
      <c r="H257">
        <v>480</v>
      </c>
      <c r="J257" t="s">
        <v>22</v>
      </c>
      <c r="K257" t="s">
        <v>16</v>
      </c>
      <c r="L257">
        <f t="shared" si="9"/>
        <v>2022</v>
      </c>
      <c r="M257" s="13">
        <f t="shared" si="10"/>
        <v>44835</v>
      </c>
      <c r="N257" t="str">
        <f t="shared" si="11"/>
        <v>Sin registrar</v>
      </c>
      <c r="O257" t="str">
        <f>IF(Tabla22[[#This Row],[quantity]]&gt;=umbral_grande, "Grande", IF(Tabla22[[#This Row],[quantity]]&gt;=umbral_mediano,"Mediano", "Pequeño"))</f>
        <v>Grande</v>
      </c>
    </row>
    <row r="258" spans="2:15" x14ac:dyDescent="0.25">
      <c r="B258">
        <v>255</v>
      </c>
      <c r="C258" s="1">
        <v>44681</v>
      </c>
      <c r="D258" t="s">
        <v>14</v>
      </c>
      <c r="E258" t="s">
        <v>11</v>
      </c>
      <c r="F258">
        <v>20</v>
      </c>
      <c r="G258">
        <v>7</v>
      </c>
      <c r="H258">
        <v>140</v>
      </c>
      <c r="J258" t="s">
        <v>22</v>
      </c>
      <c r="K258" t="s">
        <v>16</v>
      </c>
      <c r="L258">
        <f t="shared" si="9"/>
        <v>2022</v>
      </c>
      <c r="M258" s="13">
        <f t="shared" si="10"/>
        <v>44652</v>
      </c>
      <c r="N258" t="str">
        <f t="shared" si="11"/>
        <v>Sin registrar</v>
      </c>
      <c r="O258" t="str">
        <f>IF(Tabla22[[#This Row],[quantity]]&gt;=umbral_grande, "Grande", IF(Tabla22[[#This Row],[quantity]]&gt;=umbral_mediano,"Mediano", "Pequeño"))</f>
        <v>Mediano</v>
      </c>
    </row>
    <row r="259" spans="2:15" x14ac:dyDescent="0.25">
      <c r="B259">
        <v>256</v>
      </c>
      <c r="C259" s="1">
        <v>45001</v>
      </c>
      <c r="D259" t="s">
        <v>10</v>
      </c>
      <c r="E259" t="s">
        <v>11</v>
      </c>
      <c r="F259">
        <v>20</v>
      </c>
      <c r="G259">
        <v>3</v>
      </c>
      <c r="H259">
        <v>60</v>
      </c>
      <c r="I259" t="s">
        <v>19</v>
      </c>
      <c r="J259" t="s">
        <v>22</v>
      </c>
      <c r="K259" t="s">
        <v>26</v>
      </c>
      <c r="L259">
        <f t="shared" si="9"/>
        <v>2023</v>
      </c>
      <c r="M259" s="13">
        <f t="shared" si="10"/>
        <v>44986</v>
      </c>
      <c r="N259" t="str">
        <f t="shared" si="11"/>
        <v>Online</v>
      </c>
      <c r="O259" t="str">
        <f>IF(Tabla22[[#This Row],[quantity]]&gt;=umbral_grande, "Grande", IF(Tabla22[[#This Row],[quantity]]&gt;=umbral_mediano,"Mediano", "Pequeño"))</f>
        <v>Pequeño</v>
      </c>
    </row>
    <row r="260" spans="2:15" x14ac:dyDescent="0.25">
      <c r="B260">
        <v>257</v>
      </c>
      <c r="C260" s="1">
        <v>44929</v>
      </c>
      <c r="D260" t="s">
        <v>25</v>
      </c>
      <c r="E260" t="s">
        <v>11</v>
      </c>
      <c r="F260">
        <v>60</v>
      </c>
      <c r="G260">
        <v>10</v>
      </c>
      <c r="H260">
        <v>600</v>
      </c>
      <c r="I260" t="s">
        <v>15</v>
      </c>
      <c r="J260" t="s">
        <v>22</v>
      </c>
      <c r="K260" t="s">
        <v>26</v>
      </c>
      <c r="L260">
        <f t="shared" si="9"/>
        <v>2023</v>
      </c>
      <c r="M260" s="13">
        <f t="shared" si="10"/>
        <v>44927</v>
      </c>
      <c r="N260" t="str">
        <f t="shared" si="11"/>
        <v>Cash</v>
      </c>
      <c r="O260" t="str">
        <f>IF(Tabla22[[#This Row],[quantity]]&gt;=umbral_grande, "Grande", IF(Tabla22[[#This Row],[quantity]]&gt;=umbral_mediano,"Mediano", "Pequeño"))</f>
        <v>Mediano</v>
      </c>
    </row>
    <row r="261" spans="2:15" x14ac:dyDescent="0.25">
      <c r="B261">
        <v>258</v>
      </c>
      <c r="C261" s="1">
        <v>44810</v>
      </c>
      <c r="D261" t="s">
        <v>14</v>
      </c>
      <c r="E261" t="s">
        <v>11</v>
      </c>
      <c r="F261">
        <v>20</v>
      </c>
      <c r="G261">
        <v>14</v>
      </c>
      <c r="H261">
        <v>280</v>
      </c>
      <c r="I261" t="s">
        <v>15</v>
      </c>
      <c r="J261" t="s">
        <v>12</v>
      </c>
      <c r="K261" t="s">
        <v>26</v>
      </c>
      <c r="L261">
        <f t="shared" ref="L261:L324" si="12">YEAR(C261)</f>
        <v>2022</v>
      </c>
      <c r="M261" s="13">
        <f t="shared" ref="M261:M324" si="13">DATE(YEAR(C261),MONTH(C261),1)</f>
        <v>44805</v>
      </c>
      <c r="N261" t="str">
        <f t="shared" ref="N261:N324" si="14">IF(I261 = "", "Sin registrar",I261)</f>
        <v>Cash</v>
      </c>
      <c r="O261" t="str">
        <f>IF(Tabla22[[#This Row],[quantity]]&gt;=umbral_grande, "Grande", IF(Tabla22[[#This Row],[quantity]]&gt;=umbral_mediano,"Mediano", "Pequeño"))</f>
        <v>Grande</v>
      </c>
    </row>
    <row r="262" spans="2:15" x14ac:dyDescent="0.25">
      <c r="B262">
        <v>259</v>
      </c>
      <c r="C262" s="1">
        <v>44883</v>
      </c>
      <c r="D262" t="s">
        <v>25</v>
      </c>
      <c r="E262" t="s">
        <v>11</v>
      </c>
      <c r="F262">
        <v>60</v>
      </c>
      <c r="G262">
        <v>4</v>
      </c>
      <c r="H262">
        <v>240</v>
      </c>
      <c r="I262" t="s">
        <v>19</v>
      </c>
      <c r="J262" t="s">
        <v>12</v>
      </c>
      <c r="K262" t="s">
        <v>23</v>
      </c>
      <c r="L262">
        <f t="shared" si="12"/>
        <v>2022</v>
      </c>
      <c r="M262" s="13">
        <f t="shared" si="13"/>
        <v>44866</v>
      </c>
      <c r="N262" t="str">
        <f t="shared" si="14"/>
        <v>Online</v>
      </c>
      <c r="O262" t="str">
        <f>IF(Tabla22[[#This Row],[quantity]]&gt;=umbral_grande, "Grande", IF(Tabla22[[#This Row],[quantity]]&gt;=umbral_mediano,"Mediano", "Pequeño"))</f>
        <v>Pequeño</v>
      </c>
    </row>
    <row r="263" spans="2:15" x14ac:dyDescent="0.25">
      <c r="B263">
        <v>260</v>
      </c>
      <c r="C263" s="1">
        <v>44814</v>
      </c>
      <c r="D263" t="s">
        <v>17</v>
      </c>
      <c r="E263" t="s">
        <v>18</v>
      </c>
      <c r="F263">
        <v>25</v>
      </c>
      <c r="G263">
        <v>2</v>
      </c>
      <c r="H263">
        <v>50</v>
      </c>
      <c r="I263" t="s">
        <v>19</v>
      </c>
      <c r="J263" t="s">
        <v>22</v>
      </c>
      <c r="K263" t="s">
        <v>13</v>
      </c>
      <c r="L263">
        <f t="shared" si="12"/>
        <v>2022</v>
      </c>
      <c r="M263" s="13">
        <f t="shared" si="13"/>
        <v>44805</v>
      </c>
      <c r="N263" t="str">
        <f t="shared" si="14"/>
        <v>Online</v>
      </c>
      <c r="O263" t="str">
        <f>IF(Tabla22[[#This Row],[quantity]]&gt;=umbral_grande, "Grande", IF(Tabla22[[#This Row],[quantity]]&gt;=umbral_mediano,"Mediano", "Pequeño"))</f>
        <v>Pequeño</v>
      </c>
    </row>
    <row r="264" spans="2:15" x14ac:dyDescent="0.25">
      <c r="B264">
        <v>261</v>
      </c>
      <c r="C264" s="1">
        <v>44937</v>
      </c>
      <c r="D264" t="s">
        <v>24</v>
      </c>
      <c r="E264" t="s">
        <v>11</v>
      </c>
      <c r="F264">
        <v>50</v>
      </c>
      <c r="G264">
        <v>9</v>
      </c>
      <c r="H264">
        <v>450</v>
      </c>
      <c r="I264" t="s">
        <v>15</v>
      </c>
      <c r="J264" t="s">
        <v>22</v>
      </c>
      <c r="K264" t="s">
        <v>26</v>
      </c>
      <c r="L264">
        <f t="shared" si="12"/>
        <v>2023</v>
      </c>
      <c r="M264" s="13">
        <f t="shared" si="13"/>
        <v>44927</v>
      </c>
      <c r="N264" t="str">
        <f t="shared" si="14"/>
        <v>Cash</v>
      </c>
      <c r="O264" t="str">
        <f>IF(Tabla22[[#This Row],[quantity]]&gt;=umbral_grande, "Grande", IF(Tabla22[[#This Row],[quantity]]&gt;=umbral_mediano,"Mediano", "Pequeño"))</f>
        <v>Mediano</v>
      </c>
    </row>
    <row r="265" spans="2:15" x14ac:dyDescent="0.25">
      <c r="B265">
        <v>262</v>
      </c>
      <c r="C265" s="1">
        <v>44990</v>
      </c>
      <c r="D265" t="s">
        <v>14</v>
      </c>
      <c r="E265" t="s">
        <v>11</v>
      </c>
      <c r="F265">
        <v>20</v>
      </c>
      <c r="G265">
        <v>5</v>
      </c>
      <c r="H265">
        <v>100</v>
      </c>
      <c r="J265" t="s">
        <v>22</v>
      </c>
      <c r="K265" t="s">
        <v>20</v>
      </c>
      <c r="L265">
        <f t="shared" si="12"/>
        <v>2023</v>
      </c>
      <c r="M265" s="13">
        <f t="shared" si="13"/>
        <v>44986</v>
      </c>
      <c r="N265" t="str">
        <f t="shared" si="14"/>
        <v>Sin registrar</v>
      </c>
      <c r="O265" t="str">
        <f>IF(Tabla22[[#This Row],[quantity]]&gt;=umbral_grande, "Grande", IF(Tabla22[[#This Row],[quantity]]&gt;=umbral_mediano,"Mediano", "Pequeño"))</f>
        <v>Pequeño</v>
      </c>
    </row>
    <row r="266" spans="2:15" x14ac:dyDescent="0.25">
      <c r="B266">
        <v>263</v>
      </c>
      <c r="C266" s="1">
        <v>44731</v>
      </c>
      <c r="D266" t="s">
        <v>21</v>
      </c>
      <c r="E266" t="s">
        <v>11</v>
      </c>
      <c r="F266">
        <v>20</v>
      </c>
      <c r="G266">
        <v>2</v>
      </c>
      <c r="H266">
        <v>40</v>
      </c>
      <c r="I266" t="s">
        <v>15</v>
      </c>
      <c r="J266" t="s">
        <v>12</v>
      </c>
      <c r="K266" t="s">
        <v>20</v>
      </c>
      <c r="L266">
        <f t="shared" si="12"/>
        <v>2022</v>
      </c>
      <c r="M266" s="13">
        <f t="shared" si="13"/>
        <v>44713</v>
      </c>
      <c r="N266" t="str">
        <f t="shared" si="14"/>
        <v>Cash</v>
      </c>
      <c r="O266" t="str">
        <f>IF(Tabla22[[#This Row],[quantity]]&gt;=umbral_grande, "Grande", IF(Tabla22[[#This Row],[quantity]]&gt;=umbral_mediano,"Mediano", "Pequeño"))</f>
        <v>Pequeño</v>
      </c>
    </row>
    <row r="267" spans="2:15" x14ac:dyDescent="0.25">
      <c r="B267">
        <v>264</v>
      </c>
      <c r="C267" s="1">
        <v>44760</v>
      </c>
      <c r="D267" t="s">
        <v>17</v>
      </c>
      <c r="E267" t="s">
        <v>18</v>
      </c>
      <c r="F267">
        <v>25</v>
      </c>
      <c r="G267">
        <v>12</v>
      </c>
      <c r="H267">
        <v>300</v>
      </c>
      <c r="I267" t="s">
        <v>19</v>
      </c>
      <c r="J267" t="s">
        <v>12</v>
      </c>
      <c r="K267" t="s">
        <v>23</v>
      </c>
      <c r="L267">
        <f t="shared" si="12"/>
        <v>2022</v>
      </c>
      <c r="M267" s="13">
        <f t="shared" si="13"/>
        <v>44743</v>
      </c>
      <c r="N267" t="str">
        <f t="shared" si="14"/>
        <v>Online</v>
      </c>
      <c r="O267" t="str">
        <f>IF(Tabla22[[#This Row],[quantity]]&gt;=umbral_grande, "Grande", IF(Tabla22[[#This Row],[quantity]]&gt;=umbral_mediano,"Mediano", "Pequeño"))</f>
        <v>Grande</v>
      </c>
    </row>
    <row r="268" spans="2:15" x14ac:dyDescent="0.25">
      <c r="B268">
        <v>265</v>
      </c>
      <c r="C268" s="1">
        <v>44788</v>
      </c>
      <c r="D268" t="s">
        <v>14</v>
      </c>
      <c r="E268" t="s">
        <v>11</v>
      </c>
      <c r="F268">
        <v>20</v>
      </c>
      <c r="G268">
        <v>6</v>
      </c>
      <c r="H268">
        <v>120</v>
      </c>
      <c r="I268" t="s">
        <v>15</v>
      </c>
      <c r="J268" t="s">
        <v>12</v>
      </c>
      <c r="K268" t="s">
        <v>26</v>
      </c>
      <c r="L268">
        <f t="shared" si="12"/>
        <v>2022</v>
      </c>
      <c r="M268" s="13">
        <f t="shared" si="13"/>
        <v>44774</v>
      </c>
      <c r="N268" t="str">
        <f t="shared" si="14"/>
        <v>Cash</v>
      </c>
      <c r="O268" t="str">
        <f>IF(Tabla22[[#This Row],[quantity]]&gt;=umbral_grande, "Grande", IF(Tabla22[[#This Row],[quantity]]&gt;=umbral_mediano,"Mediano", "Pequeño"))</f>
        <v>Mediano</v>
      </c>
    </row>
    <row r="269" spans="2:15" x14ac:dyDescent="0.25">
      <c r="B269">
        <v>266</v>
      </c>
      <c r="C269" s="1">
        <v>44836</v>
      </c>
      <c r="D269" t="s">
        <v>24</v>
      </c>
      <c r="E269" t="s">
        <v>11</v>
      </c>
      <c r="F269">
        <v>50</v>
      </c>
      <c r="G269">
        <v>10</v>
      </c>
      <c r="H269">
        <v>500</v>
      </c>
      <c r="I269" t="s">
        <v>19</v>
      </c>
      <c r="J269" t="s">
        <v>22</v>
      </c>
      <c r="K269" t="s">
        <v>13</v>
      </c>
      <c r="L269">
        <f t="shared" si="12"/>
        <v>2022</v>
      </c>
      <c r="M269" s="13">
        <f t="shared" si="13"/>
        <v>44835</v>
      </c>
      <c r="N269" t="str">
        <f t="shared" si="14"/>
        <v>Online</v>
      </c>
      <c r="O269" t="str">
        <f>IF(Tabla22[[#This Row],[quantity]]&gt;=umbral_grande, "Grande", IF(Tabla22[[#This Row],[quantity]]&gt;=umbral_mediano,"Mediano", "Pequeño"))</f>
        <v>Mediano</v>
      </c>
    </row>
    <row r="270" spans="2:15" x14ac:dyDescent="0.25">
      <c r="B270">
        <v>267</v>
      </c>
      <c r="C270" s="1">
        <v>44990</v>
      </c>
      <c r="D270" t="s">
        <v>14</v>
      </c>
      <c r="E270" t="s">
        <v>11</v>
      </c>
      <c r="F270">
        <v>20</v>
      </c>
      <c r="G270">
        <v>1</v>
      </c>
      <c r="H270">
        <v>20</v>
      </c>
      <c r="I270" t="s">
        <v>15</v>
      </c>
      <c r="J270" t="s">
        <v>12</v>
      </c>
      <c r="K270" t="s">
        <v>23</v>
      </c>
      <c r="L270">
        <f t="shared" si="12"/>
        <v>2023</v>
      </c>
      <c r="M270" s="13">
        <f t="shared" si="13"/>
        <v>44986</v>
      </c>
      <c r="N270" t="str">
        <f t="shared" si="14"/>
        <v>Cash</v>
      </c>
      <c r="O270" t="str">
        <f>IF(Tabla22[[#This Row],[quantity]]&gt;=umbral_grande, "Grande", IF(Tabla22[[#This Row],[quantity]]&gt;=umbral_mediano,"Mediano", "Pequeño"))</f>
        <v>Pequeño</v>
      </c>
    </row>
    <row r="271" spans="2:15" x14ac:dyDescent="0.25">
      <c r="B271">
        <v>268</v>
      </c>
      <c r="C271" s="1">
        <v>44962</v>
      </c>
      <c r="D271" t="s">
        <v>27</v>
      </c>
      <c r="E271" t="s">
        <v>18</v>
      </c>
      <c r="F271">
        <v>40</v>
      </c>
      <c r="G271">
        <v>12</v>
      </c>
      <c r="H271">
        <v>480</v>
      </c>
      <c r="I271" t="s">
        <v>15</v>
      </c>
      <c r="J271" t="s">
        <v>22</v>
      </c>
      <c r="K271" t="s">
        <v>26</v>
      </c>
      <c r="L271">
        <f t="shared" si="12"/>
        <v>2023</v>
      </c>
      <c r="M271" s="13">
        <f t="shared" si="13"/>
        <v>44958</v>
      </c>
      <c r="N271" t="str">
        <f t="shared" si="14"/>
        <v>Cash</v>
      </c>
      <c r="O271" t="str">
        <f>IF(Tabla22[[#This Row],[quantity]]&gt;=umbral_grande, "Grande", IF(Tabla22[[#This Row],[quantity]]&gt;=umbral_mediano,"Mediano", "Pequeño"))</f>
        <v>Grande</v>
      </c>
    </row>
    <row r="272" spans="2:15" x14ac:dyDescent="0.25">
      <c r="B272">
        <v>269</v>
      </c>
      <c r="C272" s="1">
        <v>44917</v>
      </c>
      <c r="D272" t="s">
        <v>21</v>
      </c>
      <c r="E272" t="s">
        <v>11</v>
      </c>
      <c r="F272">
        <v>20</v>
      </c>
      <c r="G272">
        <v>2</v>
      </c>
      <c r="H272">
        <v>40</v>
      </c>
      <c r="J272" t="s">
        <v>22</v>
      </c>
      <c r="K272" t="s">
        <v>26</v>
      </c>
      <c r="L272">
        <f t="shared" si="12"/>
        <v>2022</v>
      </c>
      <c r="M272" s="13">
        <f t="shared" si="13"/>
        <v>44896</v>
      </c>
      <c r="N272" t="str">
        <f t="shared" si="14"/>
        <v>Sin registrar</v>
      </c>
      <c r="O272" t="str">
        <f>IF(Tabla22[[#This Row],[quantity]]&gt;=umbral_grande, "Grande", IF(Tabla22[[#This Row],[quantity]]&gt;=umbral_mediano,"Mediano", "Pequeño"))</f>
        <v>Pequeño</v>
      </c>
    </row>
    <row r="273" spans="2:15" x14ac:dyDescent="0.25">
      <c r="B273">
        <v>270</v>
      </c>
      <c r="C273" s="1">
        <v>44811</v>
      </c>
      <c r="D273" t="s">
        <v>25</v>
      </c>
      <c r="E273" t="s">
        <v>11</v>
      </c>
      <c r="F273">
        <v>60</v>
      </c>
      <c r="G273">
        <v>13</v>
      </c>
      <c r="H273">
        <v>780</v>
      </c>
      <c r="I273" t="s">
        <v>15</v>
      </c>
      <c r="J273" t="s">
        <v>12</v>
      </c>
      <c r="K273" t="s">
        <v>20</v>
      </c>
      <c r="L273">
        <f t="shared" si="12"/>
        <v>2022</v>
      </c>
      <c r="M273" s="13">
        <f t="shared" si="13"/>
        <v>44805</v>
      </c>
      <c r="N273" t="str">
        <f t="shared" si="14"/>
        <v>Cash</v>
      </c>
      <c r="O273" t="str">
        <f>IF(Tabla22[[#This Row],[quantity]]&gt;=umbral_grande, "Grande", IF(Tabla22[[#This Row],[quantity]]&gt;=umbral_mediano,"Mediano", "Pequeño"))</f>
        <v>Grande</v>
      </c>
    </row>
    <row r="274" spans="2:15" x14ac:dyDescent="0.25">
      <c r="B274">
        <v>271</v>
      </c>
      <c r="C274" s="1">
        <v>44684</v>
      </c>
      <c r="D274" t="s">
        <v>14</v>
      </c>
      <c r="E274" t="s">
        <v>11</v>
      </c>
      <c r="F274">
        <v>20</v>
      </c>
      <c r="G274">
        <v>13</v>
      </c>
      <c r="H274">
        <v>260</v>
      </c>
      <c r="I274" t="s">
        <v>15</v>
      </c>
      <c r="J274" t="s">
        <v>12</v>
      </c>
      <c r="K274" t="s">
        <v>20</v>
      </c>
      <c r="L274">
        <f t="shared" si="12"/>
        <v>2022</v>
      </c>
      <c r="M274" s="13">
        <f t="shared" si="13"/>
        <v>44682</v>
      </c>
      <c r="N274" t="str">
        <f t="shared" si="14"/>
        <v>Cash</v>
      </c>
      <c r="O274" t="str">
        <f>IF(Tabla22[[#This Row],[quantity]]&gt;=umbral_grande, "Grande", IF(Tabla22[[#This Row],[quantity]]&gt;=umbral_mediano,"Mediano", "Pequeño"))</f>
        <v>Grande</v>
      </c>
    </row>
    <row r="275" spans="2:15" x14ac:dyDescent="0.25">
      <c r="B275">
        <v>272</v>
      </c>
      <c r="C275" s="1">
        <v>44771</v>
      </c>
      <c r="D275" t="s">
        <v>24</v>
      </c>
      <c r="E275" t="s">
        <v>11</v>
      </c>
      <c r="F275">
        <v>50</v>
      </c>
      <c r="G275">
        <v>5</v>
      </c>
      <c r="H275">
        <v>250</v>
      </c>
      <c r="I275" t="s">
        <v>19</v>
      </c>
      <c r="J275" t="s">
        <v>22</v>
      </c>
      <c r="K275" t="s">
        <v>13</v>
      </c>
      <c r="L275">
        <f t="shared" si="12"/>
        <v>2022</v>
      </c>
      <c r="M275" s="13">
        <f t="shared" si="13"/>
        <v>44743</v>
      </c>
      <c r="N275" t="str">
        <f t="shared" si="14"/>
        <v>Online</v>
      </c>
      <c r="O275" t="str">
        <f>IF(Tabla22[[#This Row],[quantity]]&gt;=umbral_grande, "Grande", IF(Tabla22[[#This Row],[quantity]]&gt;=umbral_mediano,"Mediano", "Pequeño"))</f>
        <v>Pequeño</v>
      </c>
    </row>
    <row r="276" spans="2:15" x14ac:dyDescent="0.25">
      <c r="B276">
        <v>273</v>
      </c>
      <c r="C276" s="1">
        <v>44788</v>
      </c>
      <c r="D276" t="s">
        <v>21</v>
      </c>
      <c r="E276" t="s">
        <v>11</v>
      </c>
      <c r="F276">
        <v>20</v>
      </c>
      <c r="G276">
        <v>15</v>
      </c>
      <c r="H276">
        <v>300</v>
      </c>
      <c r="I276" t="s">
        <v>15</v>
      </c>
      <c r="J276" t="s">
        <v>12</v>
      </c>
      <c r="K276" t="s">
        <v>26</v>
      </c>
      <c r="L276">
        <f t="shared" si="12"/>
        <v>2022</v>
      </c>
      <c r="M276" s="13">
        <f t="shared" si="13"/>
        <v>44774</v>
      </c>
      <c r="N276" t="str">
        <f t="shared" si="14"/>
        <v>Cash</v>
      </c>
      <c r="O276" t="str">
        <f>IF(Tabla22[[#This Row],[quantity]]&gt;=umbral_grande, "Grande", IF(Tabla22[[#This Row],[quantity]]&gt;=umbral_mediano,"Mediano", "Pequeño"))</f>
        <v>Grande</v>
      </c>
    </row>
    <row r="277" spans="2:15" x14ac:dyDescent="0.25">
      <c r="B277">
        <v>274</v>
      </c>
      <c r="C277" s="1">
        <v>44930</v>
      </c>
      <c r="D277" t="s">
        <v>17</v>
      </c>
      <c r="E277" t="s">
        <v>18</v>
      </c>
      <c r="F277">
        <v>25</v>
      </c>
      <c r="G277">
        <v>10</v>
      </c>
      <c r="H277">
        <v>250</v>
      </c>
      <c r="I277" t="s">
        <v>19</v>
      </c>
      <c r="J277" t="s">
        <v>12</v>
      </c>
      <c r="K277" t="s">
        <v>13</v>
      </c>
      <c r="L277">
        <f t="shared" si="12"/>
        <v>2023</v>
      </c>
      <c r="M277" s="13">
        <f t="shared" si="13"/>
        <v>44927</v>
      </c>
      <c r="N277" t="str">
        <f t="shared" si="14"/>
        <v>Online</v>
      </c>
      <c r="O277" t="str">
        <f>IF(Tabla22[[#This Row],[quantity]]&gt;=umbral_grande, "Grande", IF(Tabla22[[#This Row],[quantity]]&gt;=umbral_mediano,"Mediano", "Pequeño"))</f>
        <v>Mediano</v>
      </c>
    </row>
    <row r="278" spans="2:15" x14ac:dyDescent="0.25">
      <c r="B278">
        <v>275</v>
      </c>
      <c r="C278" s="1">
        <v>44961</v>
      </c>
      <c r="D278" t="s">
        <v>14</v>
      </c>
      <c r="E278" t="s">
        <v>11</v>
      </c>
      <c r="F278">
        <v>20</v>
      </c>
      <c r="G278">
        <v>15</v>
      </c>
      <c r="H278">
        <v>300</v>
      </c>
      <c r="I278" t="s">
        <v>19</v>
      </c>
      <c r="J278" t="s">
        <v>12</v>
      </c>
      <c r="K278" t="s">
        <v>13</v>
      </c>
      <c r="L278">
        <f t="shared" si="12"/>
        <v>2023</v>
      </c>
      <c r="M278" s="13">
        <f t="shared" si="13"/>
        <v>44958</v>
      </c>
      <c r="N278" t="str">
        <f t="shared" si="14"/>
        <v>Online</v>
      </c>
      <c r="O278" t="str">
        <f>IF(Tabla22[[#This Row],[quantity]]&gt;=umbral_grande, "Grande", IF(Tabla22[[#This Row],[quantity]]&gt;=umbral_mediano,"Mediano", "Pequeño"))</f>
        <v>Grande</v>
      </c>
    </row>
    <row r="279" spans="2:15" x14ac:dyDescent="0.25">
      <c r="B279">
        <v>276</v>
      </c>
      <c r="C279" s="1">
        <v>44834</v>
      </c>
      <c r="D279" t="s">
        <v>17</v>
      </c>
      <c r="E279" t="s">
        <v>18</v>
      </c>
      <c r="F279">
        <v>25</v>
      </c>
      <c r="G279">
        <v>6</v>
      </c>
      <c r="H279">
        <v>150</v>
      </c>
      <c r="I279" t="s">
        <v>15</v>
      </c>
      <c r="J279" t="s">
        <v>12</v>
      </c>
      <c r="K279" t="s">
        <v>26</v>
      </c>
      <c r="L279">
        <f t="shared" si="12"/>
        <v>2022</v>
      </c>
      <c r="M279" s="13">
        <f t="shared" si="13"/>
        <v>44805</v>
      </c>
      <c r="N279" t="str">
        <f t="shared" si="14"/>
        <v>Cash</v>
      </c>
      <c r="O279" t="str">
        <f>IF(Tabla22[[#This Row],[quantity]]&gt;=umbral_grande, "Grande", IF(Tabla22[[#This Row],[quantity]]&gt;=umbral_mediano,"Mediano", "Pequeño"))</f>
        <v>Mediano</v>
      </c>
    </row>
    <row r="280" spans="2:15" x14ac:dyDescent="0.25">
      <c r="B280">
        <v>277</v>
      </c>
      <c r="C280" s="1">
        <v>44903</v>
      </c>
      <c r="D280" t="s">
        <v>27</v>
      </c>
      <c r="E280" t="s">
        <v>18</v>
      </c>
      <c r="F280">
        <v>40</v>
      </c>
      <c r="G280">
        <v>13</v>
      </c>
      <c r="H280">
        <v>520</v>
      </c>
      <c r="I280" t="s">
        <v>15</v>
      </c>
      <c r="J280" t="s">
        <v>22</v>
      </c>
      <c r="K280" t="s">
        <v>26</v>
      </c>
      <c r="L280">
        <f t="shared" si="12"/>
        <v>2022</v>
      </c>
      <c r="M280" s="13">
        <f t="shared" si="13"/>
        <v>44896</v>
      </c>
      <c r="N280" t="str">
        <f t="shared" si="14"/>
        <v>Cash</v>
      </c>
      <c r="O280" t="str">
        <f>IF(Tabla22[[#This Row],[quantity]]&gt;=umbral_grande, "Grande", IF(Tabla22[[#This Row],[quantity]]&gt;=umbral_mediano,"Mediano", "Pequeño"))</f>
        <v>Grande</v>
      </c>
    </row>
    <row r="281" spans="2:15" x14ac:dyDescent="0.25">
      <c r="B281">
        <v>278</v>
      </c>
      <c r="C281" s="1">
        <v>44731</v>
      </c>
      <c r="D281" t="s">
        <v>24</v>
      </c>
      <c r="E281" t="s">
        <v>11</v>
      </c>
      <c r="F281">
        <v>50</v>
      </c>
      <c r="G281">
        <v>6</v>
      </c>
      <c r="H281">
        <v>300</v>
      </c>
      <c r="I281" t="s">
        <v>19</v>
      </c>
      <c r="J281" t="s">
        <v>22</v>
      </c>
      <c r="K281" t="s">
        <v>13</v>
      </c>
      <c r="L281">
        <f t="shared" si="12"/>
        <v>2022</v>
      </c>
      <c r="M281" s="13">
        <f t="shared" si="13"/>
        <v>44713</v>
      </c>
      <c r="N281" t="str">
        <f t="shared" si="14"/>
        <v>Online</v>
      </c>
      <c r="O281" t="str">
        <f>IF(Tabla22[[#This Row],[quantity]]&gt;=umbral_grande, "Grande", IF(Tabla22[[#This Row],[quantity]]&gt;=umbral_mediano,"Mediano", "Pequeño"))</f>
        <v>Mediano</v>
      </c>
    </row>
    <row r="282" spans="2:15" x14ac:dyDescent="0.25">
      <c r="B282">
        <v>279</v>
      </c>
      <c r="C282" s="1">
        <v>44818</v>
      </c>
      <c r="D282" t="s">
        <v>14</v>
      </c>
      <c r="E282" t="s">
        <v>11</v>
      </c>
      <c r="F282">
        <v>20</v>
      </c>
      <c r="G282">
        <v>15</v>
      </c>
      <c r="H282">
        <v>300</v>
      </c>
      <c r="I282" t="s">
        <v>15</v>
      </c>
      <c r="J282" t="s">
        <v>22</v>
      </c>
      <c r="K282" t="s">
        <v>16</v>
      </c>
      <c r="L282">
        <f t="shared" si="12"/>
        <v>2022</v>
      </c>
      <c r="M282" s="13">
        <f t="shared" si="13"/>
        <v>44805</v>
      </c>
      <c r="N282" t="str">
        <f t="shared" si="14"/>
        <v>Cash</v>
      </c>
      <c r="O282" t="str">
        <f>IF(Tabla22[[#This Row],[quantity]]&gt;=umbral_grande, "Grande", IF(Tabla22[[#This Row],[quantity]]&gt;=umbral_mediano,"Mediano", "Pequeño"))</f>
        <v>Grande</v>
      </c>
    </row>
    <row r="283" spans="2:15" x14ac:dyDescent="0.25">
      <c r="B283">
        <v>280</v>
      </c>
      <c r="C283" s="1">
        <v>44843</v>
      </c>
      <c r="D283" t="s">
        <v>21</v>
      </c>
      <c r="E283" t="s">
        <v>11</v>
      </c>
      <c r="F283">
        <v>20</v>
      </c>
      <c r="G283">
        <v>14</v>
      </c>
      <c r="H283">
        <v>280</v>
      </c>
      <c r="I283" t="s">
        <v>19</v>
      </c>
      <c r="J283" t="s">
        <v>22</v>
      </c>
      <c r="K283" t="s">
        <v>20</v>
      </c>
      <c r="L283">
        <f t="shared" si="12"/>
        <v>2022</v>
      </c>
      <c r="M283" s="13">
        <f t="shared" si="13"/>
        <v>44835</v>
      </c>
      <c r="N283" t="str">
        <f t="shared" si="14"/>
        <v>Online</v>
      </c>
      <c r="O283" t="str">
        <f>IF(Tabla22[[#This Row],[quantity]]&gt;=umbral_grande, "Grande", IF(Tabla22[[#This Row],[quantity]]&gt;=umbral_mediano,"Mediano", "Pequeño"))</f>
        <v>Grande</v>
      </c>
    </row>
    <row r="284" spans="2:15" x14ac:dyDescent="0.25">
      <c r="B284">
        <v>281</v>
      </c>
      <c r="C284" s="1">
        <v>44782</v>
      </c>
      <c r="D284" t="s">
        <v>25</v>
      </c>
      <c r="E284" t="s">
        <v>11</v>
      </c>
      <c r="F284">
        <v>60</v>
      </c>
      <c r="G284">
        <v>3</v>
      </c>
      <c r="H284">
        <v>180</v>
      </c>
      <c r="I284" t="s">
        <v>15</v>
      </c>
      <c r="J284" t="s">
        <v>22</v>
      </c>
      <c r="K284" t="s">
        <v>16</v>
      </c>
      <c r="L284">
        <f t="shared" si="12"/>
        <v>2022</v>
      </c>
      <c r="M284" s="13">
        <f t="shared" si="13"/>
        <v>44774</v>
      </c>
      <c r="N284" t="str">
        <f t="shared" si="14"/>
        <v>Cash</v>
      </c>
      <c r="O284" t="str">
        <f>IF(Tabla22[[#This Row],[quantity]]&gt;=umbral_grande, "Grande", IF(Tabla22[[#This Row],[quantity]]&gt;=umbral_mediano,"Mediano", "Pequeño"))</f>
        <v>Pequeño</v>
      </c>
    </row>
    <row r="285" spans="2:15" x14ac:dyDescent="0.25">
      <c r="B285">
        <v>282</v>
      </c>
      <c r="C285" s="1">
        <v>44697</v>
      </c>
      <c r="D285" t="s">
        <v>14</v>
      </c>
      <c r="E285" t="s">
        <v>11</v>
      </c>
      <c r="F285">
        <v>20</v>
      </c>
      <c r="G285">
        <v>13</v>
      </c>
      <c r="H285">
        <v>260</v>
      </c>
      <c r="J285" t="s">
        <v>22</v>
      </c>
      <c r="K285" t="s">
        <v>23</v>
      </c>
      <c r="L285">
        <f t="shared" si="12"/>
        <v>2022</v>
      </c>
      <c r="M285" s="13">
        <f t="shared" si="13"/>
        <v>44682</v>
      </c>
      <c r="N285" t="str">
        <f t="shared" si="14"/>
        <v>Sin registrar</v>
      </c>
      <c r="O285" t="str">
        <f>IF(Tabla22[[#This Row],[quantity]]&gt;=umbral_grande, "Grande", IF(Tabla22[[#This Row],[quantity]]&gt;=umbral_mediano,"Mediano", "Pequeño"))</f>
        <v>Grande</v>
      </c>
    </row>
    <row r="286" spans="2:15" x14ac:dyDescent="0.25">
      <c r="B286">
        <v>283</v>
      </c>
      <c r="C286" s="1">
        <v>44744</v>
      </c>
      <c r="D286" t="s">
        <v>21</v>
      </c>
      <c r="E286" t="s">
        <v>11</v>
      </c>
      <c r="F286">
        <v>20</v>
      </c>
      <c r="G286">
        <v>2</v>
      </c>
      <c r="H286">
        <v>40</v>
      </c>
      <c r="I286" t="s">
        <v>15</v>
      </c>
      <c r="J286" t="s">
        <v>22</v>
      </c>
      <c r="K286" t="s">
        <v>26</v>
      </c>
      <c r="L286">
        <f t="shared" si="12"/>
        <v>2022</v>
      </c>
      <c r="M286" s="13">
        <f t="shared" si="13"/>
        <v>44743</v>
      </c>
      <c r="N286" t="str">
        <f t="shared" si="14"/>
        <v>Cash</v>
      </c>
      <c r="O286" t="str">
        <f>IF(Tabla22[[#This Row],[quantity]]&gt;=umbral_grande, "Grande", IF(Tabla22[[#This Row],[quantity]]&gt;=umbral_mediano,"Mediano", "Pequeño"))</f>
        <v>Pequeño</v>
      </c>
    </row>
    <row r="287" spans="2:15" x14ac:dyDescent="0.25">
      <c r="B287">
        <v>284</v>
      </c>
      <c r="C287" s="1">
        <v>44955</v>
      </c>
      <c r="D287" t="s">
        <v>24</v>
      </c>
      <c r="E287" t="s">
        <v>11</v>
      </c>
      <c r="F287">
        <v>50</v>
      </c>
      <c r="G287">
        <v>7</v>
      </c>
      <c r="H287">
        <v>350</v>
      </c>
      <c r="J287" t="s">
        <v>12</v>
      </c>
      <c r="K287" t="s">
        <v>16</v>
      </c>
      <c r="L287">
        <f t="shared" si="12"/>
        <v>2023</v>
      </c>
      <c r="M287" s="13">
        <f t="shared" si="13"/>
        <v>44927</v>
      </c>
      <c r="N287" t="str">
        <f t="shared" si="14"/>
        <v>Sin registrar</v>
      </c>
      <c r="O287" t="str">
        <f>IF(Tabla22[[#This Row],[quantity]]&gt;=umbral_grande, "Grande", IF(Tabla22[[#This Row],[quantity]]&gt;=umbral_mediano,"Mediano", "Pequeño"))</f>
        <v>Mediano</v>
      </c>
    </row>
    <row r="288" spans="2:15" x14ac:dyDescent="0.25">
      <c r="B288">
        <v>285</v>
      </c>
      <c r="C288" s="1">
        <v>44740</v>
      </c>
      <c r="D288" t="s">
        <v>10</v>
      </c>
      <c r="E288" t="s">
        <v>11</v>
      </c>
      <c r="F288">
        <v>20</v>
      </c>
      <c r="G288">
        <v>3</v>
      </c>
      <c r="H288">
        <v>60</v>
      </c>
      <c r="J288" t="s">
        <v>12</v>
      </c>
      <c r="K288" t="s">
        <v>13</v>
      </c>
      <c r="L288">
        <f t="shared" si="12"/>
        <v>2022</v>
      </c>
      <c r="M288" s="13">
        <f t="shared" si="13"/>
        <v>44713</v>
      </c>
      <c r="N288" t="str">
        <f t="shared" si="14"/>
        <v>Sin registrar</v>
      </c>
      <c r="O288" t="str">
        <f>IF(Tabla22[[#This Row],[quantity]]&gt;=umbral_grande, "Grande", IF(Tabla22[[#This Row],[quantity]]&gt;=umbral_mediano,"Mediano", "Pequeño"))</f>
        <v>Pequeño</v>
      </c>
    </row>
    <row r="289" spans="2:15" x14ac:dyDescent="0.25">
      <c r="B289">
        <v>286</v>
      </c>
      <c r="C289" s="1">
        <v>44909</v>
      </c>
      <c r="D289" t="s">
        <v>14</v>
      </c>
      <c r="E289" t="s">
        <v>11</v>
      </c>
      <c r="F289">
        <v>20</v>
      </c>
      <c r="G289">
        <v>6</v>
      </c>
      <c r="H289">
        <v>120</v>
      </c>
      <c r="J289" t="s">
        <v>12</v>
      </c>
      <c r="K289" t="s">
        <v>13</v>
      </c>
      <c r="L289">
        <f t="shared" si="12"/>
        <v>2022</v>
      </c>
      <c r="M289" s="13">
        <f t="shared" si="13"/>
        <v>44896</v>
      </c>
      <c r="N289" t="str">
        <f t="shared" si="14"/>
        <v>Sin registrar</v>
      </c>
      <c r="O289" t="str">
        <f>IF(Tabla22[[#This Row],[quantity]]&gt;=umbral_grande, "Grande", IF(Tabla22[[#This Row],[quantity]]&gt;=umbral_mediano,"Mediano", "Pequeño"))</f>
        <v>Mediano</v>
      </c>
    </row>
    <row r="290" spans="2:15" x14ac:dyDescent="0.25">
      <c r="B290">
        <v>287</v>
      </c>
      <c r="C290" s="1">
        <v>44779</v>
      </c>
      <c r="D290" t="s">
        <v>10</v>
      </c>
      <c r="E290" t="s">
        <v>11</v>
      </c>
      <c r="F290">
        <v>20</v>
      </c>
      <c r="G290">
        <v>3</v>
      </c>
      <c r="H290">
        <v>60</v>
      </c>
      <c r="I290" t="s">
        <v>15</v>
      </c>
      <c r="J290" t="s">
        <v>12</v>
      </c>
      <c r="K290" t="s">
        <v>23</v>
      </c>
      <c r="L290">
        <f t="shared" si="12"/>
        <v>2022</v>
      </c>
      <c r="M290" s="13">
        <f t="shared" si="13"/>
        <v>44774</v>
      </c>
      <c r="N290" t="str">
        <f t="shared" si="14"/>
        <v>Cash</v>
      </c>
      <c r="O290" t="str">
        <f>IF(Tabla22[[#This Row],[quantity]]&gt;=umbral_grande, "Grande", IF(Tabla22[[#This Row],[quantity]]&gt;=umbral_mediano,"Mediano", "Pequeño"))</f>
        <v>Pequeño</v>
      </c>
    </row>
    <row r="291" spans="2:15" x14ac:dyDescent="0.25">
      <c r="B291">
        <v>288</v>
      </c>
      <c r="C291" s="1">
        <v>44795</v>
      </c>
      <c r="D291" t="s">
        <v>25</v>
      </c>
      <c r="E291" t="s">
        <v>11</v>
      </c>
      <c r="F291">
        <v>60</v>
      </c>
      <c r="G291">
        <v>7</v>
      </c>
      <c r="H291">
        <v>420</v>
      </c>
      <c r="I291" t="s">
        <v>15</v>
      </c>
      <c r="J291" t="s">
        <v>12</v>
      </c>
      <c r="K291" t="s">
        <v>13</v>
      </c>
      <c r="L291">
        <f t="shared" si="12"/>
        <v>2022</v>
      </c>
      <c r="M291" s="13">
        <f t="shared" si="13"/>
        <v>44774</v>
      </c>
      <c r="N291" t="str">
        <f t="shared" si="14"/>
        <v>Cash</v>
      </c>
      <c r="O291" t="str">
        <f>IF(Tabla22[[#This Row],[quantity]]&gt;=umbral_grande, "Grande", IF(Tabla22[[#This Row],[quantity]]&gt;=umbral_mediano,"Mediano", "Pequeño"))</f>
        <v>Mediano</v>
      </c>
    </row>
    <row r="292" spans="2:15" x14ac:dyDescent="0.25">
      <c r="B292">
        <v>289</v>
      </c>
      <c r="C292" s="1">
        <v>44893</v>
      </c>
      <c r="D292" t="s">
        <v>10</v>
      </c>
      <c r="E292" t="s">
        <v>11</v>
      </c>
      <c r="F292">
        <v>20</v>
      </c>
      <c r="G292">
        <v>7</v>
      </c>
      <c r="H292">
        <v>140</v>
      </c>
      <c r="I292" t="s">
        <v>19</v>
      </c>
      <c r="J292" t="s">
        <v>22</v>
      </c>
      <c r="K292" t="s">
        <v>26</v>
      </c>
      <c r="L292">
        <f t="shared" si="12"/>
        <v>2022</v>
      </c>
      <c r="M292" s="13">
        <f t="shared" si="13"/>
        <v>44866</v>
      </c>
      <c r="N292" t="str">
        <f t="shared" si="14"/>
        <v>Online</v>
      </c>
      <c r="O292" t="str">
        <f>IF(Tabla22[[#This Row],[quantity]]&gt;=umbral_grande, "Grande", IF(Tabla22[[#This Row],[quantity]]&gt;=umbral_mediano,"Mediano", "Pequeño"))</f>
        <v>Mediano</v>
      </c>
    </row>
    <row r="293" spans="2:15" x14ac:dyDescent="0.25">
      <c r="B293">
        <v>290</v>
      </c>
      <c r="C293" s="1">
        <v>44684</v>
      </c>
      <c r="D293" t="s">
        <v>21</v>
      </c>
      <c r="E293" t="s">
        <v>11</v>
      </c>
      <c r="F293">
        <v>20</v>
      </c>
      <c r="G293">
        <v>7</v>
      </c>
      <c r="H293">
        <v>140</v>
      </c>
      <c r="I293" t="s">
        <v>15</v>
      </c>
      <c r="J293" t="s">
        <v>22</v>
      </c>
      <c r="K293" t="s">
        <v>23</v>
      </c>
      <c r="L293">
        <f t="shared" si="12"/>
        <v>2022</v>
      </c>
      <c r="M293" s="13">
        <f t="shared" si="13"/>
        <v>44682</v>
      </c>
      <c r="N293" t="str">
        <f t="shared" si="14"/>
        <v>Cash</v>
      </c>
      <c r="O293" t="str">
        <f>IF(Tabla22[[#This Row],[quantity]]&gt;=umbral_grande, "Grande", IF(Tabla22[[#This Row],[quantity]]&gt;=umbral_mediano,"Mediano", "Pequeño"))</f>
        <v>Mediano</v>
      </c>
    </row>
    <row r="294" spans="2:15" x14ac:dyDescent="0.25">
      <c r="B294">
        <v>291</v>
      </c>
      <c r="C294" s="1">
        <v>44953</v>
      </c>
      <c r="D294" t="s">
        <v>24</v>
      </c>
      <c r="E294" t="s">
        <v>11</v>
      </c>
      <c r="F294">
        <v>50</v>
      </c>
      <c r="G294">
        <v>8</v>
      </c>
      <c r="H294">
        <v>400</v>
      </c>
      <c r="I294" t="s">
        <v>19</v>
      </c>
      <c r="J294" t="s">
        <v>22</v>
      </c>
      <c r="K294" t="s">
        <v>13</v>
      </c>
      <c r="L294">
        <f t="shared" si="12"/>
        <v>2023</v>
      </c>
      <c r="M294" s="13">
        <f t="shared" si="13"/>
        <v>44927</v>
      </c>
      <c r="N294" t="str">
        <f t="shared" si="14"/>
        <v>Online</v>
      </c>
      <c r="O294" t="str">
        <f>IF(Tabla22[[#This Row],[quantity]]&gt;=umbral_grande, "Grande", IF(Tabla22[[#This Row],[quantity]]&gt;=umbral_mediano,"Mediano", "Pequeño"))</f>
        <v>Mediano</v>
      </c>
    </row>
    <row r="295" spans="2:15" x14ac:dyDescent="0.25">
      <c r="B295">
        <v>292</v>
      </c>
      <c r="C295" s="1">
        <v>44942</v>
      </c>
      <c r="D295" t="s">
        <v>24</v>
      </c>
      <c r="E295" t="s">
        <v>11</v>
      </c>
      <c r="F295">
        <v>50</v>
      </c>
      <c r="G295">
        <v>2</v>
      </c>
      <c r="H295">
        <v>100</v>
      </c>
      <c r="I295" t="s">
        <v>15</v>
      </c>
      <c r="J295" t="s">
        <v>22</v>
      </c>
      <c r="K295" t="s">
        <v>26</v>
      </c>
      <c r="L295">
        <f t="shared" si="12"/>
        <v>2023</v>
      </c>
      <c r="M295" s="13">
        <f t="shared" si="13"/>
        <v>44927</v>
      </c>
      <c r="N295" t="str">
        <f t="shared" si="14"/>
        <v>Cash</v>
      </c>
      <c r="O295" t="str">
        <f>IF(Tabla22[[#This Row],[quantity]]&gt;=umbral_grande, "Grande", IF(Tabla22[[#This Row],[quantity]]&gt;=umbral_mediano,"Mediano", "Pequeño"))</f>
        <v>Pequeño</v>
      </c>
    </row>
    <row r="296" spans="2:15" x14ac:dyDescent="0.25">
      <c r="B296">
        <v>293</v>
      </c>
      <c r="C296" s="1">
        <v>44672</v>
      </c>
      <c r="D296" t="s">
        <v>21</v>
      </c>
      <c r="E296" t="s">
        <v>11</v>
      </c>
      <c r="F296">
        <v>20</v>
      </c>
      <c r="G296">
        <v>8</v>
      </c>
      <c r="H296">
        <v>160</v>
      </c>
      <c r="I296" t="s">
        <v>19</v>
      </c>
      <c r="J296" t="s">
        <v>22</v>
      </c>
      <c r="K296" t="s">
        <v>23</v>
      </c>
      <c r="L296">
        <f t="shared" si="12"/>
        <v>2022</v>
      </c>
      <c r="M296" s="13">
        <f t="shared" si="13"/>
        <v>44652</v>
      </c>
      <c r="N296" t="str">
        <f t="shared" si="14"/>
        <v>Online</v>
      </c>
      <c r="O296" t="str">
        <f>IF(Tabla22[[#This Row],[quantity]]&gt;=umbral_grande, "Grande", IF(Tabla22[[#This Row],[quantity]]&gt;=umbral_mediano,"Mediano", "Pequeño"))</f>
        <v>Mediano</v>
      </c>
    </row>
    <row r="297" spans="2:15" x14ac:dyDescent="0.25">
      <c r="B297">
        <v>294</v>
      </c>
      <c r="C297" s="1">
        <v>44827</v>
      </c>
      <c r="D297" t="s">
        <v>10</v>
      </c>
      <c r="E297" t="s">
        <v>11</v>
      </c>
      <c r="F297">
        <v>20</v>
      </c>
      <c r="G297">
        <v>1</v>
      </c>
      <c r="H297">
        <v>20</v>
      </c>
      <c r="I297" t="s">
        <v>15</v>
      </c>
      <c r="J297" t="s">
        <v>22</v>
      </c>
      <c r="K297" t="s">
        <v>20</v>
      </c>
      <c r="L297">
        <f t="shared" si="12"/>
        <v>2022</v>
      </c>
      <c r="M297" s="13">
        <f t="shared" si="13"/>
        <v>44805</v>
      </c>
      <c r="N297" t="str">
        <f t="shared" si="14"/>
        <v>Cash</v>
      </c>
      <c r="O297" t="str">
        <f>IF(Tabla22[[#This Row],[quantity]]&gt;=umbral_grande, "Grande", IF(Tabla22[[#This Row],[quantity]]&gt;=umbral_mediano,"Mediano", "Pequeño"))</f>
        <v>Pequeño</v>
      </c>
    </row>
    <row r="298" spans="2:15" x14ac:dyDescent="0.25">
      <c r="B298">
        <v>295</v>
      </c>
      <c r="C298" s="1">
        <v>44763</v>
      </c>
      <c r="D298" t="s">
        <v>25</v>
      </c>
      <c r="E298" t="s">
        <v>11</v>
      </c>
      <c r="F298">
        <v>60</v>
      </c>
      <c r="G298">
        <v>7</v>
      </c>
      <c r="H298">
        <v>420</v>
      </c>
      <c r="I298" t="s">
        <v>15</v>
      </c>
      <c r="J298" t="s">
        <v>12</v>
      </c>
      <c r="K298" t="s">
        <v>26</v>
      </c>
      <c r="L298">
        <f t="shared" si="12"/>
        <v>2022</v>
      </c>
      <c r="M298" s="13">
        <f t="shared" si="13"/>
        <v>44743</v>
      </c>
      <c r="N298" t="str">
        <f t="shared" si="14"/>
        <v>Cash</v>
      </c>
      <c r="O298" t="str">
        <f>IF(Tabla22[[#This Row],[quantity]]&gt;=umbral_grande, "Grande", IF(Tabla22[[#This Row],[quantity]]&gt;=umbral_mediano,"Mediano", "Pequeño"))</f>
        <v>Mediano</v>
      </c>
    </row>
    <row r="299" spans="2:15" x14ac:dyDescent="0.25">
      <c r="B299">
        <v>296</v>
      </c>
      <c r="C299" s="1">
        <v>44963</v>
      </c>
      <c r="D299" t="s">
        <v>21</v>
      </c>
      <c r="E299" t="s">
        <v>11</v>
      </c>
      <c r="F299">
        <v>20</v>
      </c>
      <c r="G299">
        <v>7</v>
      </c>
      <c r="H299">
        <v>140</v>
      </c>
      <c r="I299" t="s">
        <v>15</v>
      </c>
      <c r="J299" t="s">
        <v>22</v>
      </c>
      <c r="K299" t="s">
        <v>16</v>
      </c>
      <c r="L299">
        <f t="shared" si="12"/>
        <v>2023</v>
      </c>
      <c r="M299" s="13">
        <f t="shared" si="13"/>
        <v>44958</v>
      </c>
      <c r="N299" t="str">
        <f t="shared" si="14"/>
        <v>Cash</v>
      </c>
      <c r="O299" t="str">
        <f>IF(Tabla22[[#This Row],[quantity]]&gt;=umbral_grande, "Grande", IF(Tabla22[[#This Row],[quantity]]&gt;=umbral_mediano,"Mediano", "Pequeño"))</f>
        <v>Mediano</v>
      </c>
    </row>
    <row r="300" spans="2:15" x14ac:dyDescent="0.25">
      <c r="B300">
        <v>297</v>
      </c>
      <c r="C300" s="1">
        <v>44681</v>
      </c>
      <c r="D300" t="s">
        <v>25</v>
      </c>
      <c r="E300" t="s">
        <v>11</v>
      </c>
      <c r="F300">
        <v>60</v>
      </c>
      <c r="G300">
        <v>10</v>
      </c>
      <c r="H300">
        <v>600</v>
      </c>
      <c r="I300" t="s">
        <v>19</v>
      </c>
      <c r="J300" t="s">
        <v>12</v>
      </c>
      <c r="K300" t="s">
        <v>20</v>
      </c>
      <c r="L300">
        <f t="shared" si="12"/>
        <v>2022</v>
      </c>
      <c r="M300" s="13">
        <f t="shared" si="13"/>
        <v>44652</v>
      </c>
      <c r="N300" t="str">
        <f t="shared" si="14"/>
        <v>Online</v>
      </c>
      <c r="O300" t="str">
        <f>IF(Tabla22[[#This Row],[quantity]]&gt;=umbral_grande, "Grande", IF(Tabla22[[#This Row],[quantity]]&gt;=umbral_mediano,"Mediano", "Pequeño"))</f>
        <v>Mediano</v>
      </c>
    </row>
    <row r="301" spans="2:15" x14ac:dyDescent="0.25">
      <c r="B301">
        <v>298</v>
      </c>
      <c r="C301" s="1">
        <v>44761</v>
      </c>
      <c r="D301" t="s">
        <v>17</v>
      </c>
      <c r="E301" t="s">
        <v>18</v>
      </c>
      <c r="F301">
        <v>25</v>
      </c>
      <c r="G301">
        <v>9</v>
      </c>
      <c r="H301">
        <v>225</v>
      </c>
      <c r="I301" t="s">
        <v>15</v>
      </c>
      <c r="J301" t="s">
        <v>22</v>
      </c>
      <c r="K301" t="s">
        <v>16</v>
      </c>
      <c r="L301">
        <f t="shared" si="12"/>
        <v>2022</v>
      </c>
      <c r="M301" s="13">
        <f t="shared" si="13"/>
        <v>44743</v>
      </c>
      <c r="N301" t="str">
        <f t="shared" si="14"/>
        <v>Cash</v>
      </c>
      <c r="O301" t="str">
        <f>IF(Tabla22[[#This Row],[quantity]]&gt;=umbral_grande, "Grande", IF(Tabla22[[#This Row],[quantity]]&gt;=umbral_mediano,"Mediano", "Pequeño"))</f>
        <v>Mediano</v>
      </c>
    </row>
    <row r="302" spans="2:15" x14ac:dyDescent="0.25">
      <c r="B302">
        <v>299</v>
      </c>
      <c r="C302" s="1">
        <v>44764</v>
      </c>
      <c r="D302" t="s">
        <v>10</v>
      </c>
      <c r="E302" t="s">
        <v>11</v>
      </c>
      <c r="F302">
        <v>20</v>
      </c>
      <c r="G302">
        <v>1</v>
      </c>
      <c r="H302">
        <v>20</v>
      </c>
      <c r="I302" t="s">
        <v>19</v>
      </c>
      <c r="J302" t="s">
        <v>22</v>
      </c>
      <c r="K302" t="s">
        <v>20</v>
      </c>
      <c r="L302">
        <f t="shared" si="12"/>
        <v>2022</v>
      </c>
      <c r="M302" s="13">
        <f t="shared" si="13"/>
        <v>44743</v>
      </c>
      <c r="N302" t="str">
        <f t="shared" si="14"/>
        <v>Online</v>
      </c>
      <c r="O302" t="str">
        <f>IF(Tabla22[[#This Row],[quantity]]&gt;=umbral_grande, "Grande", IF(Tabla22[[#This Row],[quantity]]&gt;=umbral_mediano,"Mediano", "Pequeño"))</f>
        <v>Pequeño</v>
      </c>
    </row>
    <row r="303" spans="2:15" x14ac:dyDescent="0.25">
      <c r="B303">
        <v>300</v>
      </c>
      <c r="C303" s="1">
        <v>44739</v>
      </c>
      <c r="D303" t="s">
        <v>10</v>
      </c>
      <c r="E303" t="s">
        <v>11</v>
      </c>
      <c r="F303">
        <v>20</v>
      </c>
      <c r="G303">
        <v>8</v>
      </c>
      <c r="H303">
        <v>160</v>
      </c>
      <c r="I303" t="s">
        <v>15</v>
      </c>
      <c r="J303" t="s">
        <v>12</v>
      </c>
      <c r="K303" t="s">
        <v>16</v>
      </c>
      <c r="L303">
        <f t="shared" si="12"/>
        <v>2022</v>
      </c>
      <c r="M303" s="13">
        <f t="shared" si="13"/>
        <v>44713</v>
      </c>
      <c r="N303" t="str">
        <f t="shared" si="14"/>
        <v>Cash</v>
      </c>
      <c r="O303" t="str">
        <f>IF(Tabla22[[#This Row],[quantity]]&gt;=umbral_grande, "Grande", IF(Tabla22[[#This Row],[quantity]]&gt;=umbral_mediano,"Mediano", "Pequeño"))</f>
        <v>Mediano</v>
      </c>
    </row>
    <row r="304" spans="2:15" x14ac:dyDescent="0.25">
      <c r="B304">
        <v>301</v>
      </c>
      <c r="C304" s="1">
        <v>44954</v>
      </c>
      <c r="D304" t="s">
        <v>21</v>
      </c>
      <c r="E304" t="s">
        <v>11</v>
      </c>
      <c r="F304">
        <v>20</v>
      </c>
      <c r="G304">
        <v>7</v>
      </c>
      <c r="H304">
        <v>140</v>
      </c>
      <c r="I304" t="s">
        <v>15</v>
      </c>
      <c r="J304" t="s">
        <v>12</v>
      </c>
      <c r="K304" t="s">
        <v>13</v>
      </c>
      <c r="L304">
        <f t="shared" si="12"/>
        <v>2023</v>
      </c>
      <c r="M304" s="13">
        <f t="shared" si="13"/>
        <v>44927</v>
      </c>
      <c r="N304" t="str">
        <f t="shared" si="14"/>
        <v>Cash</v>
      </c>
      <c r="O304" t="str">
        <f>IF(Tabla22[[#This Row],[quantity]]&gt;=umbral_grande, "Grande", IF(Tabla22[[#This Row],[quantity]]&gt;=umbral_mediano,"Mediano", "Pequeño"))</f>
        <v>Mediano</v>
      </c>
    </row>
    <row r="305" spans="2:15" x14ac:dyDescent="0.25">
      <c r="B305">
        <v>302</v>
      </c>
      <c r="C305" s="1">
        <v>45006</v>
      </c>
      <c r="D305" t="s">
        <v>10</v>
      </c>
      <c r="E305" t="s">
        <v>11</v>
      </c>
      <c r="F305">
        <v>20</v>
      </c>
      <c r="G305">
        <v>14</v>
      </c>
      <c r="H305">
        <v>280</v>
      </c>
      <c r="I305" t="s">
        <v>15</v>
      </c>
      <c r="J305" t="s">
        <v>12</v>
      </c>
      <c r="K305" t="s">
        <v>13</v>
      </c>
      <c r="L305">
        <f t="shared" si="12"/>
        <v>2023</v>
      </c>
      <c r="M305" s="13">
        <f t="shared" si="13"/>
        <v>44986</v>
      </c>
      <c r="N305" t="str">
        <f t="shared" si="14"/>
        <v>Cash</v>
      </c>
      <c r="O305" t="str">
        <f>IF(Tabla22[[#This Row],[quantity]]&gt;=umbral_grande, "Grande", IF(Tabla22[[#This Row],[quantity]]&gt;=umbral_mediano,"Mediano", "Pequeño"))</f>
        <v>Grande</v>
      </c>
    </row>
    <row r="306" spans="2:15" x14ac:dyDescent="0.25">
      <c r="B306">
        <v>303</v>
      </c>
      <c r="C306" s="1">
        <v>44744</v>
      </c>
      <c r="D306" t="s">
        <v>17</v>
      </c>
      <c r="E306" t="s">
        <v>18</v>
      </c>
      <c r="F306">
        <v>25</v>
      </c>
      <c r="G306">
        <v>1</v>
      </c>
      <c r="H306">
        <v>25</v>
      </c>
      <c r="I306" t="s">
        <v>15</v>
      </c>
      <c r="J306" t="s">
        <v>22</v>
      </c>
      <c r="K306" t="s">
        <v>26</v>
      </c>
      <c r="L306">
        <f t="shared" si="12"/>
        <v>2022</v>
      </c>
      <c r="M306" s="13">
        <f t="shared" si="13"/>
        <v>44743</v>
      </c>
      <c r="N306" t="str">
        <f t="shared" si="14"/>
        <v>Cash</v>
      </c>
      <c r="O306" t="str">
        <f>IF(Tabla22[[#This Row],[quantity]]&gt;=umbral_grande, "Grande", IF(Tabla22[[#This Row],[quantity]]&gt;=umbral_mediano,"Mediano", "Pequeño"))</f>
        <v>Pequeño</v>
      </c>
    </row>
    <row r="307" spans="2:15" x14ac:dyDescent="0.25">
      <c r="B307">
        <v>304</v>
      </c>
      <c r="C307" s="1">
        <v>44709</v>
      </c>
      <c r="D307" t="s">
        <v>14</v>
      </c>
      <c r="E307" t="s">
        <v>11</v>
      </c>
      <c r="F307">
        <v>20</v>
      </c>
      <c r="G307">
        <v>15</v>
      </c>
      <c r="H307">
        <v>300</v>
      </c>
      <c r="I307" t="s">
        <v>19</v>
      </c>
      <c r="J307" t="s">
        <v>12</v>
      </c>
      <c r="K307" t="s">
        <v>23</v>
      </c>
      <c r="L307">
        <f t="shared" si="12"/>
        <v>2022</v>
      </c>
      <c r="M307" s="13">
        <f t="shared" si="13"/>
        <v>44682</v>
      </c>
      <c r="N307" t="str">
        <f t="shared" si="14"/>
        <v>Online</v>
      </c>
      <c r="O307" t="str">
        <f>IF(Tabla22[[#This Row],[quantity]]&gt;=umbral_grande, "Grande", IF(Tabla22[[#This Row],[quantity]]&gt;=umbral_mediano,"Mediano", "Pequeño"))</f>
        <v>Grande</v>
      </c>
    </row>
    <row r="308" spans="2:15" x14ac:dyDescent="0.25">
      <c r="B308">
        <v>305</v>
      </c>
      <c r="C308" s="1">
        <v>44990</v>
      </c>
      <c r="D308" t="s">
        <v>21</v>
      </c>
      <c r="E308" t="s">
        <v>11</v>
      </c>
      <c r="F308">
        <v>20</v>
      </c>
      <c r="G308">
        <v>4</v>
      </c>
      <c r="H308">
        <v>80</v>
      </c>
      <c r="J308" t="s">
        <v>22</v>
      </c>
      <c r="K308" t="s">
        <v>23</v>
      </c>
      <c r="L308">
        <f t="shared" si="12"/>
        <v>2023</v>
      </c>
      <c r="M308" s="13">
        <f t="shared" si="13"/>
        <v>44986</v>
      </c>
      <c r="N308" t="str">
        <f t="shared" si="14"/>
        <v>Sin registrar</v>
      </c>
      <c r="O308" t="str">
        <f>IF(Tabla22[[#This Row],[quantity]]&gt;=umbral_grande, "Grande", IF(Tabla22[[#This Row],[quantity]]&gt;=umbral_mediano,"Mediano", "Pequeño"))</f>
        <v>Pequeño</v>
      </c>
    </row>
    <row r="309" spans="2:15" x14ac:dyDescent="0.25">
      <c r="B309">
        <v>306</v>
      </c>
      <c r="C309" s="1">
        <v>44988</v>
      </c>
      <c r="D309" t="s">
        <v>27</v>
      </c>
      <c r="E309" t="s">
        <v>18</v>
      </c>
      <c r="F309">
        <v>40</v>
      </c>
      <c r="G309">
        <v>8</v>
      </c>
      <c r="H309">
        <v>320</v>
      </c>
      <c r="I309" t="s">
        <v>19</v>
      </c>
      <c r="J309" t="s">
        <v>22</v>
      </c>
      <c r="K309" t="s">
        <v>23</v>
      </c>
      <c r="L309">
        <f t="shared" si="12"/>
        <v>2023</v>
      </c>
      <c r="M309" s="13">
        <f t="shared" si="13"/>
        <v>44986</v>
      </c>
      <c r="N309" t="str">
        <f t="shared" si="14"/>
        <v>Online</v>
      </c>
      <c r="O309" t="str">
        <f>IF(Tabla22[[#This Row],[quantity]]&gt;=umbral_grande, "Grande", IF(Tabla22[[#This Row],[quantity]]&gt;=umbral_mediano,"Mediano", "Pequeño"))</f>
        <v>Mediano</v>
      </c>
    </row>
    <row r="310" spans="2:15" x14ac:dyDescent="0.25">
      <c r="B310">
        <v>307</v>
      </c>
      <c r="C310" s="1">
        <v>44970</v>
      </c>
      <c r="D310" t="s">
        <v>14</v>
      </c>
      <c r="E310" t="s">
        <v>11</v>
      </c>
      <c r="F310">
        <v>20</v>
      </c>
      <c r="G310">
        <v>8</v>
      </c>
      <c r="H310">
        <v>160</v>
      </c>
      <c r="I310" t="s">
        <v>15</v>
      </c>
      <c r="J310" t="s">
        <v>12</v>
      </c>
      <c r="K310" t="s">
        <v>20</v>
      </c>
      <c r="L310">
        <f t="shared" si="12"/>
        <v>2023</v>
      </c>
      <c r="M310" s="13">
        <f t="shared" si="13"/>
        <v>44958</v>
      </c>
      <c r="N310" t="str">
        <f t="shared" si="14"/>
        <v>Cash</v>
      </c>
      <c r="O310" t="str">
        <f>IF(Tabla22[[#This Row],[quantity]]&gt;=umbral_grande, "Grande", IF(Tabla22[[#This Row],[quantity]]&gt;=umbral_mediano,"Mediano", "Pequeño"))</f>
        <v>Mediano</v>
      </c>
    </row>
    <row r="311" spans="2:15" x14ac:dyDescent="0.25">
      <c r="B311">
        <v>308</v>
      </c>
      <c r="C311" s="1">
        <v>44912</v>
      </c>
      <c r="D311" t="s">
        <v>25</v>
      </c>
      <c r="E311" t="s">
        <v>11</v>
      </c>
      <c r="F311">
        <v>60</v>
      </c>
      <c r="G311">
        <v>13</v>
      </c>
      <c r="H311">
        <v>780</v>
      </c>
      <c r="I311" t="s">
        <v>19</v>
      </c>
      <c r="J311" t="s">
        <v>12</v>
      </c>
      <c r="K311" t="s">
        <v>20</v>
      </c>
      <c r="L311">
        <f t="shared" si="12"/>
        <v>2022</v>
      </c>
      <c r="M311" s="13">
        <f t="shared" si="13"/>
        <v>44896</v>
      </c>
      <c r="N311" t="str">
        <f t="shared" si="14"/>
        <v>Online</v>
      </c>
      <c r="O311" t="str">
        <f>IF(Tabla22[[#This Row],[quantity]]&gt;=umbral_grande, "Grande", IF(Tabla22[[#This Row],[quantity]]&gt;=umbral_mediano,"Mediano", "Pequeño"))</f>
        <v>Grande</v>
      </c>
    </row>
    <row r="312" spans="2:15" x14ac:dyDescent="0.25">
      <c r="B312">
        <v>309</v>
      </c>
      <c r="C312" s="1">
        <v>44848</v>
      </c>
      <c r="D312" t="s">
        <v>25</v>
      </c>
      <c r="E312" t="s">
        <v>11</v>
      </c>
      <c r="F312">
        <v>60</v>
      </c>
      <c r="G312">
        <v>8</v>
      </c>
      <c r="H312">
        <v>480</v>
      </c>
      <c r="I312" t="s">
        <v>19</v>
      </c>
      <c r="J312" t="s">
        <v>12</v>
      </c>
      <c r="K312" t="s">
        <v>20</v>
      </c>
      <c r="L312">
        <f t="shared" si="12"/>
        <v>2022</v>
      </c>
      <c r="M312" s="13">
        <f t="shared" si="13"/>
        <v>44835</v>
      </c>
      <c r="N312" t="str">
        <f t="shared" si="14"/>
        <v>Online</v>
      </c>
      <c r="O312" t="str">
        <f>IF(Tabla22[[#This Row],[quantity]]&gt;=umbral_grande, "Grande", IF(Tabla22[[#This Row],[quantity]]&gt;=umbral_mediano,"Mediano", "Pequeño"))</f>
        <v>Mediano</v>
      </c>
    </row>
    <row r="313" spans="2:15" x14ac:dyDescent="0.25">
      <c r="B313">
        <v>310</v>
      </c>
      <c r="C313" s="1">
        <v>44676</v>
      </c>
      <c r="D313" t="s">
        <v>14</v>
      </c>
      <c r="E313" t="s">
        <v>11</v>
      </c>
      <c r="F313">
        <v>20</v>
      </c>
      <c r="G313">
        <v>4</v>
      </c>
      <c r="H313">
        <v>80</v>
      </c>
      <c r="I313" t="s">
        <v>15</v>
      </c>
      <c r="J313" t="s">
        <v>12</v>
      </c>
      <c r="K313" t="s">
        <v>16</v>
      </c>
      <c r="L313">
        <f t="shared" si="12"/>
        <v>2022</v>
      </c>
      <c r="M313" s="13">
        <f t="shared" si="13"/>
        <v>44652</v>
      </c>
      <c r="N313" t="str">
        <f t="shared" si="14"/>
        <v>Cash</v>
      </c>
      <c r="O313" t="str">
        <f>IF(Tabla22[[#This Row],[quantity]]&gt;=umbral_grande, "Grande", IF(Tabla22[[#This Row],[quantity]]&gt;=umbral_mediano,"Mediano", "Pequeño"))</f>
        <v>Pequeño</v>
      </c>
    </row>
    <row r="314" spans="2:15" x14ac:dyDescent="0.25">
      <c r="B314">
        <v>311</v>
      </c>
      <c r="C314" s="1">
        <v>44773</v>
      </c>
      <c r="D314" t="s">
        <v>24</v>
      </c>
      <c r="E314" t="s">
        <v>11</v>
      </c>
      <c r="F314">
        <v>50</v>
      </c>
      <c r="G314">
        <v>7</v>
      </c>
      <c r="H314">
        <v>350</v>
      </c>
      <c r="J314" t="s">
        <v>22</v>
      </c>
      <c r="K314" t="s">
        <v>23</v>
      </c>
      <c r="L314">
        <f t="shared" si="12"/>
        <v>2022</v>
      </c>
      <c r="M314" s="13">
        <f t="shared" si="13"/>
        <v>44743</v>
      </c>
      <c r="N314" t="str">
        <f t="shared" si="14"/>
        <v>Sin registrar</v>
      </c>
      <c r="O314" t="str">
        <f>IF(Tabla22[[#This Row],[quantity]]&gt;=umbral_grande, "Grande", IF(Tabla22[[#This Row],[quantity]]&gt;=umbral_mediano,"Mediano", "Pequeño"))</f>
        <v>Mediano</v>
      </c>
    </row>
    <row r="315" spans="2:15" x14ac:dyDescent="0.25">
      <c r="B315">
        <v>312</v>
      </c>
      <c r="C315" s="1">
        <v>44923</v>
      </c>
      <c r="D315" t="s">
        <v>27</v>
      </c>
      <c r="E315" t="s">
        <v>18</v>
      </c>
      <c r="F315">
        <v>40</v>
      </c>
      <c r="G315">
        <v>1</v>
      </c>
      <c r="H315">
        <v>40</v>
      </c>
      <c r="I315" t="s">
        <v>15</v>
      </c>
      <c r="J315" t="s">
        <v>22</v>
      </c>
      <c r="K315" t="s">
        <v>13</v>
      </c>
      <c r="L315">
        <f t="shared" si="12"/>
        <v>2022</v>
      </c>
      <c r="M315" s="13">
        <f t="shared" si="13"/>
        <v>44896</v>
      </c>
      <c r="N315" t="str">
        <f t="shared" si="14"/>
        <v>Cash</v>
      </c>
      <c r="O315" t="str">
        <f>IF(Tabla22[[#This Row],[quantity]]&gt;=umbral_grande, "Grande", IF(Tabla22[[#This Row],[quantity]]&gt;=umbral_mediano,"Mediano", "Pequeño"))</f>
        <v>Pequeño</v>
      </c>
    </row>
    <row r="316" spans="2:15" x14ac:dyDescent="0.25">
      <c r="B316">
        <v>313</v>
      </c>
      <c r="C316" s="1">
        <v>44670</v>
      </c>
      <c r="D316" t="s">
        <v>27</v>
      </c>
      <c r="E316" t="s">
        <v>18</v>
      </c>
      <c r="F316">
        <v>40</v>
      </c>
      <c r="G316">
        <v>1</v>
      </c>
      <c r="H316">
        <v>40</v>
      </c>
      <c r="I316" t="s">
        <v>15</v>
      </c>
      <c r="J316" t="s">
        <v>12</v>
      </c>
      <c r="K316" t="s">
        <v>26</v>
      </c>
      <c r="L316">
        <f t="shared" si="12"/>
        <v>2022</v>
      </c>
      <c r="M316" s="13">
        <f t="shared" si="13"/>
        <v>44652</v>
      </c>
      <c r="N316" t="str">
        <f t="shared" si="14"/>
        <v>Cash</v>
      </c>
      <c r="O316" t="str">
        <f>IF(Tabla22[[#This Row],[quantity]]&gt;=umbral_grande, "Grande", IF(Tabla22[[#This Row],[quantity]]&gt;=umbral_mediano,"Mediano", "Pequeño"))</f>
        <v>Pequeño</v>
      </c>
    </row>
    <row r="317" spans="2:15" x14ac:dyDescent="0.25">
      <c r="B317">
        <v>314</v>
      </c>
      <c r="C317" s="1">
        <v>44984</v>
      </c>
      <c r="D317" t="s">
        <v>24</v>
      </c>
      <c r="E317" t="s">
        <v>11</v>
      </c>
      <c r="F317">
        <v>50</v>
      </c>
      <c r="G317">
        <v>8</v>
      </c>
      <c r="H317">
        <v>400</v>
      </c>
      <c r="I317" t="s">
        <v>19</v>
      </c>
      <c r="J317" t="s">
        <v>22</v>
      </c>
      <c r="K317" t="s">
        <v>23</v>
      </c>
      <c r="L317">
        <f t="shared" si="12"/>
        <v>2023</v>
      </c>
      <c r="M317" s="13">
        <f t="shared" si="13"/>
        <v>44958</v>
      </c>
      <c r="N317" t="str">
        <f t="shared" si="14"/>
        <v>Online</v>
      </c>
      <c r="O317" t="str">
        <f>IF(Tabla22[[#This Row],[quantity]]&gt;=umbral_grande, "Grande", IF(Tabla22[[#This Row],[quantity]]&gt;=umbral_mediano,"Mediano", "Pequeño"))</f>
        <v>Mediano</v>
      </c>
    </row>
    <row r="318" spans="2:15" x14ac:dyDescent="0.25">
      <c r="B318">
        <v>315</v>
      </c>
      <c r="C318" s="1">
        <v>44977</v>
      </c>
      <c r="D318" t="s">
        <v>27</v>
      </c>
      <c r="E318" t="s">
        <v>18</v>
      </c>
      <c r="F318">
        <v>40</v>
      </c>
      <c r="G318">
        <v>13</v>
      </c>
      <c r="H318">
        <v>520</v>
      </c>
      <c r="I318" t="s">
        <v>19</v>
      </c>
      <c r="J318" t="s">
        <v>22</v>
      </c>
      <c r="K318" t="s">
        <v>16</v>
      </c>
      <c r="L318">
        <f t="shared" si="12"/>
        <v>2023</v>
      </c>
      <c r="M318" s="13">
        <f t="shared" si="13"/>
        <v>44958</v>
      </c>
      <c r="N318" t="str">
        <f t="shared" si="14"/>
        <v>Online</v>
      </c>
      <c r="O318" t="str">
        <f>IF(Tabla22[[#This Row],[quantity]]&gt;=umbral_grande, "Grande", IF(Tabla22[[#This Row],[quantity]]&gt;=umbral_mediano,"Mediano", "Pequeño"))</f>
        <v>Grande</v>
      </c>
    </row>
    <row r="319" spans="2:15" x14ac:dyDescent="0.25">
      <c r="B319">
        <v>316</v>
      </c>
      <c r="C319" s="1">
        <v>44867</v>
      </c>
      <c r="D319" t="s">
        <v>24</v>
      </c>
      <c r="E319" t="s">
        <v>11</v>
      </c>
      <c r="F319">
        <v>50</v>
      </c>
      <c r="G319">
        <v>4</v>
      </c>
      <c r="H319">
        <v>200</v>
      </c>
      <c r="I319" t="s">
        <v>19</v>
      </c>
      <c r="J319" t="s">
        <v>12</v>
      </c>
      <c r="K319" t="s">
        <v>23</v>
      </c>
      <c r="L319">
        <f t="shared" si="12"/>
        <v>2022</v>
      </c>
      <c r="M319" s="13">
        <f t="shared" si="13"/>
        <v>44866</v>
      </c>
      <c r="N319" t="str">
        <f t="shared" si="14"/>
        <v>Online</v>
      </c>
      <c r="O319" t="str">
        <f>IF(Tabla22[[#This Row],[quantity]]&gt;=umbral_grande, "Grande", IF(Tabla22[[#This Row],[quantity]]&gt;=umbral_mediano,"Mediano", "Pequeño"))</f>
        <v>Pequeño</v>
      </c>
    </row>
    <row r="320" spans="2:15" x14ac:dyDescent="0.25">
      <c r="B320">
        <v>317</v>
      </c>
      <c r="C320" s="1">
        <v>44995</v>
      </c>
      <c r="D320" t="s">
        <v>10</v>
      </c>
      <c r="E320" t="s">
        <v>11</v>
      </c>
      <c r="F320">
        <v>20</v>
      </c>
      <c r="G320">
        <v>12</v>
      </c>
      <c r="H320">
        <v>240</v>
      </c>
      <c r="I320" t="s">
        <v>19</v>
      </c>
      <c r="J320" t="s">
        <v>22</v>
      </c>
      <c r="K320" t="s">
        <v>16</v>
      </c>
      <c r="L320">
        <f t="shared" si="12"/>
        <v>2023</v>
      </c>
      <c r="M320" s="13">
        <f t="shared" si="13"/>
        <v>44986</v>
      </c>
      <c r="N320" t="str">
        <f t="shared" si="14"/>
        <v>Online</v>
      </c>
      <c r="O320" t="str">
        <f>IF(Tabla22[[#This Row],[quantity]]&gt;=umbral_grande, "Grande", IF(Tabla22[[#This Row],[quantity]]&gt;=umbral_mediano,"Mediano", "Pequeño"))</f>
        <v>Grande</v>
      </c>
    </row>
    <row r="321" spans="2:15" x14ac:dyDescent="0.25">
      <c r="B321">
        <v>318</v>
      </c>
      <c r="C321" s="1">
        <v>44916</v>
      </c>
      <c r="D321" t="s">
        <v>10</v>
      </c>
      <c r="E321" t="s">
        <v>11</v>
      </c>
      <c r="F321">
        <v>20</v>
      </c>
      <c r="G321">
        <v>10</v>
      </c>
      <c r="H321">
        <v>200</v>
      </c>
      <c r="I321" t="s">
        <v>19</v>
      </c>
      <c r="J321" t="s">
        <v>22</v>
      </c>
      <c r="K321" t="s">
        <v>26</v>
      </c>
      <c r="L321">
        <f t="shared" si="12"/>
        <v>2022</v>
      </c>
      <c r="M321" s="13">
        <f t="shared" si="13"/>
        <v>44896</v>
      </c>
      <c r="N321" t="str">
        <f t="shared" si="14"/>
        <v>Online</v>
      </c>
      <c r="O321" t="str">
        <f>IF(Tabla22[[#This Row],[quantity]]&gt;=umbral_grande, "Grande", IF(Tabla22[[#This Row],[quantity]]&gt;=umbral_mediano,"Mediano", "Pequeño"))</f>
        <v>Mediano</v>
      </c>
    </row>
    <row r="322" spans="2:15" x14ac:dyDescent="0.25">
      <c r="B322">
        <v>319</v>
      </c>
      <c r="C322" s="1">
        <v>44742</v>
      </c>
      <c r="D322" t="s">
        <v>24</v>
      </c>
      <c r="E322" t="s">
        <v>11</v>
      </c>
      <c r="F322">
        <v>50</v>
      </c>
      <c r="G322">
        <v>15</v>
      </c>
      <c r="H322">
        <v>750</v>
      </c>
      <c r="I322" t="s">
        <v>15</v>
      </c>
      <c r="J322" t="s">
        <v>12</v>
      </c>
      <c r="K322" t="s">
        <v>16</v>
      </c>
      <c r="L322">
        <f t="shared" si="12"/>
        <v>2022</v>
      </c>
      <c r="M322" s="13">
        <f t="shared" si="13"/>
        <v>44713</v>
      </c>
      <c r="N322" t="str">
        <f t="shared" si="14"/>
        <v>Cash</v>
      </c>
      <c r="O322" t="str">
        <f>IF(Tabla22[[#This Row],[quantity]]&gt;=umbral_grande, "Grande", IF(Tabla22[[#This Row],[quantity]]&gt;=umbral_mediano,"Mediano", "Pequeño"))</f>
        <v>Grande</v>
      </c>
    </row>
    <row r="323" spans="2:15" x14ac:dyDescent="0.25">
      <c r="B323">
        <v>320</v>
      </c>
      <c r="C323" s="1">
        <v>45003</v>
      </c>
      <c r="D323" t="s">
        <v>17</v>
      </c>
      <c r="E323" t="s">
        <v>18</v>
      </c>
      <c r="F323">
        <v>25</v>
      </c>
      <c r="G323">
        <v>7</v>
      </c>
      <c r="H323">
        <v>175</v>
      </c>
      <c r="I323" t="s">
        <v>15</v>
      </c>
      <c r="J323" t="s">
        <v>22</v>
      </c>
      <c r="K323" t="s">
        <v>16</v>
      </c>
      <c r="L323">
        <f t="shared" si="12"/>
        <v>2023</v>
      </c>
      <c r="M323" s="13">
        <f t="shared" si="13"/>
        <v>44986</v>
      </c>
      <c r="N323" t="str">
        <f t="shared" si="14"/>
        <v>Cash</v>
      </c>
      <c r="O323" t="str">
        <f>IF(Tabla22[[#This Row],[quantity]]&gt;=umbral_grande, "Grande", IF(Tabla22[[#This Row],[quantity]]&gt;=umbral_mediano,"Mediano", "Pequeño"))</f>
        <v>Mediano</v>
      </c>
    </row>
    <row r="324" spans="2:15" x14ac:dyDescent="0.25">
      <c r="B324">
        <v>321</v>
      </c>
      <c r="C324" s="1">
        <v>44965</v>
      </c>
      <c r="D324" t="s">
        <v>24</v>
      </c>
      <c r="E324" t="s">
        <v>11</v>
      </c>
      <c r="F324">
        <v>50</v>
      </c>
      <c r="G324">
        <v>12</v>
      </c>
      <c r="H324">
        <v>600</v>
      </c>
      <c r="I324" t="s">
        <v>15</v>
      </c>
      <c r="J324" t="s">
        <v>22</v>
      </c>
      <c r="K324" t="s">
        <v>20</v>
      </c>
      <c r="L324">
        <f t="shared" si="12"/>
        <v>2023</v>
      </c>
      <c r="M324" s="13">
        <f t="shared" si="13"/>
        <v>44958</v>
      </c>
      <c r="N324" t="str">
        <f t="shared" si="14"/>
        <v>Cash</v>
      </c>
      <c r="O324" t="str">
        <f>IF(Tabla22[[#This Row],[quantity]]&gt;=umbral_grande, "Grande", IF(Tabla22[[#This Row],[quantity]]&gt;=umbral_mediano,"Mediano", "Pequeño"))</f>
        <v>Grande</v>
      </c>
    </row>
    <row r="325" spans="2:15" x14ac:dyDescent="0.25">
      <c r="B325">
        <v>322</v>
      </c>
      <c r="C325" s="1">
        <v>44686</v>
      </c>
      <c r="D325" t="s">
        <v>27</v>
      </c>
      <c r="E325" t="s">
        <v>18</v>
      </c>
      <c r="F325">
        <v>40</v>
      </c>
      <c r="G325">
        <v>11</v>
      </c>
      <c r="H325">
        <v>440</v>
      </c>
      <c r="I325" t="s">
        <v>15</v>
      </c>
      <c r="J325" t="s">
        <v>12</v>
      </c>
      <c r="K325" t="s">
        <v>23</v>
      </c>
      <c r="L325">
        <f t="shared" ref="L325:L388" si="15">YEAR(C325)</f>
        <v>2022</v>
      </c>
      <c r="M325" s="13">
        <f t="shared" ref="M325:M388" si="16">DATE(YEAR(C325),MONTH(C325),1)</f>
        <v>44682</v>
      </c>
      <c r="N325" t="str">
        <f t="shared" ref="N325:N388" si="17">IF(I325 = "", "Sin registrar",I325)</f>
        <v>Cash</v>
      </c>
      <c r="O325" t="str">
        <f>IF(Tabla22[[#This Row],[quantity]]&gt;=umbral_grande, "Grande", IF(Tabla22[[#This Row],[quantity]]&gt;=umbral_mediano,"Mediano", "Pequeño"))</f>
        <v>Grande</v>
      </c>
    </row>
    <row r="326" spans="2:15" x14ac:dyDescent="0.25">
      <c r="B326">
        <v>323</v>
      </c>
      <c r="C326" s="1">
        <v>44924</v>
      </c>
      <c r="D326" t="s">
        <v>10</v>
      </c>
      <c r="E326" t="s">
        <v>11</v>
      </c>
      <c r="F326">
        <v>20</v>
      </c>
      <c r="G326">
        <v>4</v>
      </c>
      <c r="H326">
        <v>80</v>
      </c>
      <c r="I326" t="s">
        <v>15</v>
      </c>
      <c r="J326" t="s">
        <v>12</v>
      </c>
      <c r="K326" t="s">
        <v>23</v>
      </c>
      <c r="L326">
        <f t="shared" si="15"/>
        <v>2022</v>
      </c>
      <c r="M326" s="13">
        <f t="shared" si="16"/>
        <v>44896</v>
      </c>
      <c r="N326" t="str">
        <f t="shared" si="17"/>
        <v>Cash</v>
      </c>
      <c r="O326" t="str">
        <f>IF(Tabla22[[#This Row],[quantity]]&gt;=umbral_grande, "Grande", IF(Tabla22[[#This Row],[quantity]]&gt;=umbral_mediano,"Mediano", "Pequeño"))</f>
        <v>Pequeño</v>
      </c>
    </row>
    <row r="327" spans="2:15" x14ac:dyDescent="0.25">
      <c r="B327">
        <v>324</v>
      </c>
      <c r="C327" s="1">
        <v>44760</v>
      </c>
      <c r="D327" t="s">
        <v>17</v>
      </c>
      <c r="E327" t="s">
        <v>18</v>
      </c>
      <c r="F327">
        <v>25</v>
      </c>
      <c r="G327">
        <v>15</v>
      </c>
      <c r="H327">
        <v>375</v>
      </c>
      <c r="I327" t="s">
        <v>19</v>
      </c>
      <c r="J327" t="s">
        <v>22</v>
      </c>
      <c r="K327" t="s">
        <v>13</v>
      </c>
      <c r="L327">
        <f t="shared" si="15"/>
        <v>2022</v>
      </c>
      <c r="M327" s="13">
        <f t="shared" si="16"/>
        <v>44743</v>
      </c>
      <c r="N327" t="str">
        <f t="shared" si="17"/>
        <v>Online</v>
      </c>
      <c r="O327" t="str">
        <f>IF(Tabla22[[#This Row],[quantity]]&gt;=umbral_grande, "Grande", IF(Tabla22[[#This Row],[quantity]]&gt;=umbral_mediano,"Mediano", "Pequeño"))</f>
        <v>Grande</v>
      </c>
    </row>
    <row r="328" spans="2:15" x14ac:dyDescent="0.25">
      <c r="B328">
        <v>325</v>
      </c>
      <c r="C328" s="1">
        <v>44987</v>
      </c>
      <c r="D328" t="s">
        <v>10</v>
      </c>
      <c r="E328" t="s">
        <v>11</v>
      </c>
      <c r="F328">
        <v>20</v>
      </c>
      <c r="G328">
        <v>12</v>
      </c>
      <c r="H328">
        <v>240</v>
      </c>
      <c r="J328" t="s">
        <v>22</v>
      </c>
      <c r="K328" t="s">
        <v>16</v>
      </c>
      <c r="L328">
        <f t="shared" si="15"/>
        <v>2023</v>
      </c>
      <c r="M328" s="13">
        <f t="shared" si="16"/>
        <v>44986</v>
      </c>
      <c r="N328" t="str">
        <f t="shared" si="17"/>
        <v>Sin registrar</v>
      </c>
      <c r="O328" t="str">
        <f>IF(Tabla22[[#This Row],[quantity]]&gt;=umbral_grande, "Grande", IF(Tabla22[[#This Row],[quantity]]&gt;=umbral_mediano,"Mediano", "Pequeño"))</f>
        <v>Grande</v>
      </c>
    </row>
    <row r="329" spans="2:15" x14ac:dyDescent="0.25">
      <c r="B329">
        <v>326</v>
      </c>
      <c r="C329" s="1">
        <v>44684</v>
      </c>
      <c r="D329" t="s">
        <v>25</v>
      </c>
      <c r="E329" t="s">
        <v>11</v>
      </c>
      <c r="F329">
        <v>60</v>
      </c>
      <c r="G329">
        <v>8</v>
      </c>
      <c r="H329">
        <v>480</v>
      </c>
      <c r="I329" t="s">
        <v>15</v>
      </c>
      <c r="J329" t="s">
        <v>12</v>
      </c>
      <c r="K329" t="s">
        <v>20</v>
      </c>
      <c r="L329">
        <f t="shared" si="15"/>
        <v>2022</v>
      </c>
      <c r="M329" s="13">
        <f t="shared" si="16"/>
        <v>44682</v>
      </c>
      <c r="N329" t="str">
        <f t="shared" si="17"/>
        <v>Cash</v>
      </c>
      <c r="O329" t="str">
        <f>IF(Tabla22[[#This Row],[quantity]]&gt;=umbral_grande, "Grande", IF(Tabla22[[#This Row],[quantity]]&gt;=umbral_mediano,"Mediano", "Pequeño"))</f>
        <v>Mediano</v>
      </c>
    </row>
    <row r="330" spans="2:15" x14ac:dyDescent="0.25">
      <c r="B330">
        <v>327</v>
      </c>
      <c r="C330" s="1">
        <v>44894</v>
      </c>
      <c r="D330" t="s">
        <v>24</v>
      </c>
      <c r="E330" t="s">
        <v>11</v>
      </c>
      <c r="F330">
        <v>50</v>
      </c>
      <c r="G330">
        <v>15</v>
      </c>
      <c r="H330">
        <v>750</v>
      </c>
      <c r="I330" t="s">
        <v>15</v>
      </c>
      <c r="J330" t="s">
        <v>22</v>
      </c>
      <c r="K330" t="s">
        <v>26</v>
      </c>
      <c r="L330">
        <f t="shared" si="15"/>
        <v>2022</v>
      </c>
      <c r="M330" s="13">
        <f t="shared" si="16"/>
        <v>44866</v>
      </c>
      <c r="N330" t="str">
        <f t="shared" si="17"/>
        <v>Cash</v>
      </c>
      <c r="O330" t="str">
        <f>IF(Tabla22[[#This Row],[quantity]]&gt;=umbral_grande, "Grande", IF(Tabla22[[#This Row],[quantity]]&gt;=umbral_mediano,"Mediano", "Pequeño"))</f>
        <v>Grande</v>
      </c>
    </row>
    <row r="331" spans="2:15" x14ac:dyDescent="0.25">
      <c r="B331">
        <v>328</v>
      </c>
      <c r="C331" s="1">
        <v>44728</v>
      </c>
      <c r="D331" t="s">
        <v>14</v>
      </c>
      <c r="E331" t="s">
        <v>11</v>
      </c>
      <c r="F331">
        <v>20</v>
      </c>
      <c r="G331">
        <v>3</v>
      </c>
      <c r="H331">
        <v>60</v>
      </c>
      <c r="I331" t="s">
        <v>19</v>
      </c>
      <c r="J331" t="s">
        <v>12</v>
      </c>
      <c r="K331" t="s">
        <v>20</v>
      </c>
      <c r="L331">
        <f t="shared" si="15"/>
        <v>2022</v>
      </c>
      <c r="M331" s="13">
        <f t="shared" si="16"/>
        <v>44713</v>
      </c>
      <c r="N331" t="str">
        <f t="shared" si="17"/>
        <v>Online</v>
      </c>
      <c r="O331" t="str">
        <f>IF(Tabla22[[#This Row],[quantity]]&gt;=umbral_grande, "Grande", IF(Tabla22[[#This Row],[quantity]]&gt;=umbral_mediano,"Mediano", "Pequeño"))</f>
        <v>Pequeño</v>
      </c>
    </row>
    <row r="332" spans="2:15" x14ac:dyDescent="0.25">
      <c r="B332">
        <v>329</v>
      </c>
      <c r="C332" s="1">
        <v>44936</v>
      </c>
      <c r="D332" t="s">
        <v>21</v>
      </c>
      <c r="E332" t="s">
        <v>11</v>
      </c>
      <c r="F332">
        <v>20</v>
      </c>
      <c r="G332">
        <v>7</v>
      </c>
      <c r="H332">
        <v>140</v>
      </c>
      <c r="I332" t="s">
        <v>19</v>
      </c>
      <c r="J332" t="s">
        <v>22</v>
      </c>
      <c r="K332" t="s">
        <v>16</v>
      </c>
      <c r="L332">
        <f t="shared" si="15"/>
        <v>2023</v>
      </c>
      <c r="M332" s="13">
        <f t="shared" si="16"/>
        <v>44927</v>
      </c>
      <c r="N332" t="str">
        <f t="shared" si="17"/>
        <v>Online</v>
      </c>
      <c r="O332" t="str">
        <f>IF(Tabla22[[#This Row],[quantity]]&gt;=umbral_grande, "Grande", IF(Tabla22[[#This Row],[quantity]]&gt;=umbral_mediano,"Mediano", "Pequeño"))</f>
        <v>Mediano</v>
      </c>
    </row>
    <row r="333" spans="2:15" x14ac:dyDescent="0.25">
      <c r="B333">
        <v>330</v>
      </c>
      <c r="C333" s="1">
        <v>44826</v>
      </c>
      <c r="D333" t="s">
        <v>21</v>
      </c>
      <c r="E333" t="s">
        <v>11</v>
      </c>
      <c r="F333">
        <v>20</v>
      </c>
      <c r="G333">
        <v>8</v>
      </c>
      <c r="H333">
        <v>160</v>
      </c>
      <c r="J333" t="s">
        <v>12</v>
      </c>
      <c r="K333" t="s">
        <v>23</v>
      </c>
      <c r="L333">
        <f t="shared" si="15"/>
        <v>2022</v>
      </c>
      <c r="M333" s="13">
        <f t="shared" si="16"/>
        <v>44805</v>
      </c>
      <c r="N333" t="str">
        <f t="shared" si="17"/>
        <v>Sin registrar</v>
      </c>
      <c r="O333" t="str">
        <f>IF(Tabla22[[#This Row],[quantity]]&gt;=umbral_grande, "Grande", IF(Tabla22[[#This Row],[quantity]]&gt;=umbral_mediano,"Mediano", "Pequeño"))</f>
        <v>Mediano</v>
      </c>
    </row>
    <row r="334" spans="2:15" x14ac:dyDescent="0.25">
      <c r="B334">
        <v>331</v>
      </c>
      <c r="C334" s="1">
        <v>44794</v>
      </c>
      <c r="D334" t="s">
        <v>21</v>
      </c>
      <c r="E334" t="s">
        <v>11</v>
      </c>
      <c r="F334">
        <v>20</v>
      </c>
      <c r="G334">
        <v>4</v>
      </c>
      <c r="H334">
        <v>80</v>
      </c>
      <c r="I334" t="s">
        <v>19</v>
      </c>
      <c r="J334" t="s">
        <v>22</v>
      </c>
      <c r="K334" t="s">
        <v>20</v>
      </c>
      <c r="L334">
        <f t="shared" si="15"/>
        <v>2022</v>
      </c>
      <c r="M334" s="13">
        <f t="shared" si="16"/>
        <v>44774</v>
      </c>
      <c r="N334" t="str">
        <f t="shared" si="17"/>
        <v>Online</v>
      </c>
      <c r="O334" t="str">
        <f>IF(Tabla22[[#This Row],[quantity]]&gt;=umbral_grande, "Grande", IF(Tabla22[[#This Row],[quantity]]&gt;=umbral_mediano,"Mediano", "Pequeño"))</f>
        <v>Pequeño</v>
      </c>
    </row>
    <row r="335" spans="2:15" x14ac:dyDescent="0.25">
      <c r="B335">
        <v>332</v>
      </c>
      <c r="C335" s="1">
        <v>44974</v>
      </c>
      <c r="D335" t="s">
        <v>10</v>
      </c>
      <c r="E335" t="s">
        <v>11</v>
      </c>
      <c r="F335">
        <v>20</v>
      </c>
      <c r="G335">
        <v>2</v>
      </c>
      <c r="H335">
        <v>40</v>
      </c>
      <c r="J335" t="s">
        <v>22</v>
      </c>
      <c r="K335" t="s">
        <v>16</v>
      </c>
      <c r="L335">
        <f t="shared" si="15"/>
        <v>2023</v>
      </c>
      <c r="M335" s="13">
        <f t="shared" si="16"/>
        <v>44958</v>
      </c>
      <c r="N335" t="str">
        <f t="shared" si="17"/>
        <v>Sin registrar</v>
      </c>
      <c r="O335" t="str">
        <f>IF(Tabla22[[#This Row],[quantity]]&gt;=umbral_grande, "Grande", IF(Tabla22[[#This Row],[quantity]]&gt;=umbral_mediano,"Mediano", "Pequeño"))</f>
        <v>Pequeño</v>
      </c>
    </row>
    <row r="336" spans="2:15" x14ac:dyDescent="0.25">
      <c r="B336">
        <v>333</v>
      </c>
      <c r="C336" s="1">
        <v>44864</v>
      </c>
      <c r="D336" t="s">
        <v>17</v>
      </c>
      <c r="E336" t="s">
        <v>18</v>
      </c>
      <c r="F336">
        <v>25</v>
      </c>
      <c r="G336">
        <v>11</v>
      </c>
      <c r="H336">
        <v>275</v>
      </c>
      <c r="I336" t="s">
        <v>15</v>
      </c>
      <c r="J336" t="s">
        <v>22</v>
      </c>
      <c r="K336" t="s">
        <v>16</v>
      </c>
      <c r="L336">
        <f t="shared" si="15"/>
        <v>2022</v>
      </c>
      <c r="M336" s="13">
        <f t="shared" si="16"/>
        <v>44835</v>
      </c>
      <c r="N336" t="str">
        <f t="shared" si="17"/>
        <v>Cash</v>
      </c>
      <c r="O336" t="str">
        <f>IF(Tabla22[[#This Row],[quantity]]&gt;=umbral_grande, "Grande", IF(Tabla22[[#This Row],[quantity]]&gt;=umbral_mediano,"Mediano", "Pequeño"))</f>
        <v>Grande</v>
      </c>
    </row>
    <row r="337" spans="2:15" x14ac:dyDescent="0.25">
      <c r="B337">
        <v>334</v>
      </c>
      <c r="C337" s="1">
        <v>44655</v>
      </c>
      <c r="D337" t="s">
        <v>27</v>
      </c>
      <c r="E337" t="s">
        <v>18</v>
      </c>
      <c r="F337">
        <v>40</v>
      </c>
      <c r="G337">
        <v>4</v>
      </c>
      <c r="H337">
        <v>160</v>
      </c>
      <c r="I337" t="s">
        <v>15</v>
      </c>
      <c r="J337" t="s">
        <v>22</v>
      </c>
      <c r="K337" t="s">
        <v>20</v>
      </c>
      <c r="L337">
        <f t="shared" si="15"/>
        <v>2022</v>
      </c>
      <c r="M337" s="13">
        <f t="shared" si="16"/>
        <v>44652</v>
      </c>
      <c r="N337" t="str">
        <f t="shared" si="17"/>
        <v>Cash</v>
      </c>
      <c r="O337" t="str">
        <f>IF(Tabla22[[#This Row],[quantity]]&gt;=umbral_grande, "Grande", IF(Tabla22[[#This Row],[quantity]]&gt;=umbral_mediano,"Mediano", "Pequeño"))</f>
        <v>Pequeño</v>
      </c>
    </row>
    <row r="338" spans="2:15" x14ac:dyDescent="0.25">
      <c r="B338">
        <v>335</v>
      </c>
      <c r="C338" s="1">
        <v>44858</v>
      </c>
      <c r="D338" t="s">
        <v>27</v>
      </c>
      <c r="E338" t="s">
        <v>18</v>
      </c>
      <c r="F338">
        <v>40</v>
      </c>
      <c r="G338">
        <v>11</v>
      </c>
      <c r="H338">
        <v>440</v>
      </c>
      <c r="I338" t="s">
        <v>15</v>
      </c>
      <c r="J338" t="s">
        <v>12</v>
      </c>
      <c r="K338" t="s">
        <v>13</v>
      </c>
      <c r="L338">
        <f t="shared" si="15"/>
        <v>2022</v>
      </c>
      <c r="M338" s="13">
        <f t="shared" si="16"/>
        <v>44835</v>
      </c>
      <c r="N338" t="str">
        <f t="shared" si="17"/>
        <v>Cash</v>
      </c>
      <c r="O338" t="str">
        <f>IF(Tabla22[[#This Row],[quantity]]&gt;=umbral_grande, "Grande", IF(Tabla22[[#This Row],[quantity]]&gt;=umbral_mediano,"Mediano", "Pequeño"))</f>
        <v>Grande</v>
      </c>
    </row>
    <row r="339" spans="2:15" x14ac:dyDescent="0.25">
      <c r="B339">
        <v>336</v>
      </c>
      <c r="C339" s="1">
        <v>44807</v>
      </c>
      <c r="D339" t="s">
        <v>17</v>
      </c>
      <c r="E339" t="s">
        <v>18</v>
      </c>
      <c r="F339">
        <v>25</v>
      </c>
      <c r="G339">
        <v>13</v>
      </c>
      <c r="H339">
        <v>325</v>
      </c>
      <c r="J339" t="s">
        <v>22</v>
      </c>
      <c r="K339" t="s">
        <v>26</v>
      </c>
      <c r="L339">
        <f t="shared" si="15"/>
        <v>2022</v>
      </c>
      <c r="M339" s="13">
        <f t="shared" si="16"/>
        <v>44805</v>
      </c>
      <c r="N339" t="str">
        <f t="shared" si="17"/>
        <v>Sin registrar</v>
      </c>
      <c r="O339" t="str">
        <f>IF(Tabla22[[#This Row],[quantity]]&gt;=umbral_grande, "Grande", IF(Tabla22[[#This Row],[quantity]]&gt;=umbral_mediano,"Mediano", "Pequeño"))</f>
        <v>Grande</v>
      </c>
    </row>
    <row r="340" spans="2:15" x14ac:dyDescent="0.25">
      <c r="B340">
        <v>337</v>
      </c>
      <c r="C340" s="1">
        <v>44849</v>
      </c>
      <c r="D340" t="s">
        <v>10</v>
      </c>
      <c r="E340" t="s">
        <v>11</v>
      </c>
      <c r="F340">
        <v>20</v>
      </c>
      <c r="G340">
        <v>14</v>
      </c>
      <c r="H340">
        <v>280</v>
      </c>
      <c r="I340" t="s">
        <v>19</v>
      </c>
      <c r="J340" t="s">
        <v>22</v>
      </c>
      <c r="K340" t="s">
        <v>26</v>
      </c>
      <c r="L340">
        <f t="shared" si="15"/>
        <v>2022</v>
      </c>
      <c r="M340" s="13">
        <f t="shared" si="16"/>
        <v>44835</v>
      </c>
      <c r="N340" t="str">
        <f t="shared" si="17"/>
        <v>Online</v>
      </c>
      <c r="O340" t="str">
        <f>IF(Tabla22[[#This Row],[quantity]]&gt;=umbral_grande, "Grande", IF(Tabla22[[#This Row],[quantity]]&gt;=umbral_mediano,"Mediano", "Pequeño"))</f>
        <v>Grande</v>
      </c>
    </row>
    <row r="341" spans="2:15" x14ac:dyDescent="0.25">
      <c r="B341">
        <v>338</v>
      </c>
      <c r="C341" s="1">
        <v>44687</v>
      </c>
      <c r="D341" t="s">
        <v>17</v>
      </c>
      <c r="E341" t="s">
        <v>18</v>
      </c>
      <c r="F341">
        <v>25</v>
      </c>
      <c r="G341">
        <v>12</v>
      </c>
      <c r="H341">
        <v>300</v>
      </c>
      <c r="I341" t="s">
        <v>15</v>
      </c>
      <c r="J341" t="s">
        <v>12</v>
      </c>
      <c r="K341" t="s">
        <v>23</v>
      </c>
      <c r="L341">
        <f t="shared" si="15"/>
        <v>2022</v>
      </c>
      <c r="M341" s="13">
        <f t="shared" si="16"/>
        <v>44682</v>
      </c>
      <c r="N341" t="str">
        <f t="shared" si="17"/>
        <v>Cash</v>
      </c>
      <c r="O341" t="str">
        <f>IF(Tabla22[[#This Row],[quantity]]&gt;=umbral_grande, "Grande", IF(Tabla22[[#This Row],[quantity]]&gt;=umbral_mediano,"Mediano", "Pequeño"))</f>
        <v>Grande</v>
      </c>
    </row>
    <row r="342" spans="2:15" x14ac:dyDescent="0.25">
      <c r="B342">
        <v>339</v>
      </c>
      <c r="C342" s="1">
        <v>44973</v>
      </c>
      <c r="D342" t="s">
        <v>17</v>
      </c>
      <c r="E342" t="s">
        <v>18</v>
      </c>
      <c r="F342">
        <v>25</v>
      </c>
      <c r="G342">
        <v>1</v>
      </c>
      <c r="H342">
        <v>25</v>
      </c>
      <c r="J342" t="s">
        <v>22</v>
      </c>
      <c r="K342" t="s">
        <v>26</v>
      </c>
      <c r="L342">
        <f t="shared" si="15"/>
        <v>2023</v>
      </c>
      <c r="M342" s="13">
        <f t="shared" si="16"/>
        <v>44958</v>
      </c>
      <c r="N342" t="str">
        <f t="shared" si="17"/>
        <v>Sin registrar</v>
      </c>
      <c r="O342" t="str">
        <f>IF(Tabla22[[#This Row],[quantity]]&gt;=umbral_grande, "Grande", IF(Tabla22[[#This Row],[quantity]]&gt;=umbral_mediano,"Mediano", "Pequeño"))</f>
        <v>Pequeño</v>
      </c>
    </row>
    <row r="343" spans="2:15" x14ac:dyDescent="0.25">
      <c r="B343">
        <v>340</v>
      </c>
      <c r="C343" s="1">
        <v>44714</v>
      </c>
      <c r="D343" t="s">
        <v>27</v>
      </c>
      <c r="E343" t="s">
        <v>18</v>
      </c>
      <c r="F343">
        <v>40</v>
      </c>
      <c r="G343">
        <v>4</v>
      </c>
      <c r="H343">
        <v>160</v>
      </c>
      <c r="I343" t="s">
        <v>15</v>
      </c>
      <c r="J343" t="s">
        <v>22</v>
      </c>
      <c r="K343" t="s">
        <v>20</v>
      </c>
      <c r="L343">
        <f t="shared" si="15"/>
        <v>2022</v>
      </c>
      <c r="M343" s="13">
        <f t="shared" si="16"/>
        <v>44713</v>
      </c>
      <c r="N343" t="str">
        <f t="shared" si="17"/>
        <v>Cash</v>
      </c>
      <c r="O343" t="str">
        <f>IF(Tabla22[[#This Row],[quantity]]&gt;=umbral_grande, "Grande", IF(Tabla22[[#This Row],[quantity]]&gt;=umbral_mediano,"Mediano", "Pequeño"))</f>
        <v>Pequeño</v>
      </c>
    </row>
    <row r="344" spans="2:15" x14ac:dyDescent="0.25">
      <c r="B344">
        <v>341</v>
      </c>
      <c r="C344" s="1">
        <v>45004</v>
      </c>
      <c r="D344" t="s">
        <v>24</v>
      </c>
      <c r="E344" t="s">
        <v>11</v>
      </c>
      <c r="F344">
        <v>50</v>
      </c>
      <c r="G344">
        <v>9</v>
      </c>
      <c r="H344">
        <v>450</v>
      </c>
      <c r="I344" t="s">
        <v>15</v>
      </c>
      <c r="J344" t="s">
        <v>22</v>
      </c>
      <c r="K344" t="s">
        <v>20</v>
      </c>
      <c r="L344">
        <f t="shared" si="15"/>
        <v>2023</v>
      </c>
      <c r="M344" s="13">
        <f t="shared" si="16"/>
        <v>44986</v>
      </c>
      <c r="N344" t="str">
        <f t="shared" si="17"/>
        <v>Cash</v>
      </c>
      <c r="O344" t="str">
        <f>IF(Tabla22[[#This Row],[quantity]]&gt;=umbral_grande, "Grande", IF(Tabla22[[#This Row],[quantity]]&gt;=umbral_mediano,"Mediano", "Pequeño"))</f>
        <v>Mediano</v>
      </c>
    </row>
    <row r="345" spans="2:15" x14ac:dyDescent="0.25">
      <c r="B345">
        <v>342</v>
      </c>
      <c r="C345" s="1">
        <v>44996</v>
      </c>
      <c r="D345" t="s">
        <v>14</v>
      </c>
      <c r="E345" t="s">
        <v>11</v>
      </c>
      <c r="F345">
        <v>20</v>
      </c>
      <c r="G345">
        <v>7</v>
      </c>
      <c r="H345">
        <v>140</v>
      </c>
      <c r="I345" t="s">
        <v>19</v>
      </c>
      <c r="J345" t="s">
        <v>12</v>
      </c>
      <c r="K345" t="s">
        <v>16</v>
      </c>
      <c r="L345">
        <f t="shared" si="15"/>
        <v>2023</v>
      </c>
      <c r="M345" s="13">
        <f t="shared" si="16"/>
        <v>44986</v>
      </c>
      <c r="N345" t="str">
        <f t="shared" si="17"/>
        <v>Online</v>
      </c>
      <c r="O345" t="str">
        <f>IF(Tabla22[[#This Row],[quantity]]&gt;=umbral_grande, "Grande", IF(Tabla22[[#This Row],[quantity]]&gt;=umbral_mediano,"Mediano", "Pequeño"))</f>
        <v>Mediano</v>
      </c>
    </row>
    <row r="346" spans="2:15" x14ac:dyDescent="0.25">
      <c r="B346">
        <v>343</v>
      </c>
      <c r="C346" s="1">
        <v>44944</v>
      </c>
      <c r="D346" t="s">
        <v>17</v>
      </c>
      <c r="E346" t="s">
        <v>18</v>
      </c>
      <c r="F346">
        <v>25</v>
      </c>
      <c r="G346">
        <v>5</v>
      </c>
      <c r="H346">
        <v>125</v>
      </c>
      <c r="I346" t="s">
        <v>15</v>
      </c>
      <c r="J346" t="s">
        <v>12</v>
      </c>
      <c r="K346" t="s">
        <v>16</v>
      </c>
      <c r="L346">
        <f t="shared" si="15"/>
        <v>2023</v>
      </c>
      <c r="M346" s="13">
        <f t="shared" si="16"/>
        <v>44927</v>
      </c>
      <c r="N346" t="str">
        <f t="shared" si="17"/>
        <v>Cash</v>
      </c>
      <c r="O346" t="str">
        <f>IF(Tabla22[[#This Row],[quantity]]&gt;=umbral_grande, "Grande", IF(Tabla22[[#This Row],[quantity]]&gt;=umbral_mediano,"Mediano", "Pequeño"))</f>
        <v>Pequeño</v>
      </c>
    </row>
    <row r="347" spans="2:15" x14ac:dyDescent="0.25">
      <c r="B347">
        <v>344</v>
      </c>
      <c r="C347" s="1">
        <v>44694</v>
      </c>
      <c r="D347" t="s">
        <v>27</v>
      </c>
      <c r="E347" t="s">
        <v>18</v>
      </c>
      <c r="F347">
        <v>40</v>
      </c>
      <c r="G347">
        <v>14</v>
      </c>
      <c r="H347">
        <v>560</v>
      </c>
      <c r="I347" t="s">
        <v>15</v>
      </c>
      <c r="J347" t="s">
        <v>12</v>
      </c>
      <c r="K347" t="s">
        <v>13</v>
      </c>
      <c r="L347">
        <f t="shared" si="15"/>
        <v>2022</v>
      </c>
      <c r="M347" s="13">
        <f t="shared" si="16"/>
        <v>44682</v>
      </c>
      <c r="N347" t="str">
        <f t="shared" si="17"/>
        <v>Cash</v>
      </c>
      <c r="O347" t="str">
        <f>IF(Tabla22[[#This Row],[quantity]]&gt;=umbral_grande, "Grande", IF(Tabla22[[#This Row],[quantity]]&gt;=umbral_mediano,"Mediano", "Pequeño"))</f>
        <v>Grande</v>
      </c>
    </row>
    <row r="348" spans="2:15" x14ac:dyDescent="0.25">
      <c r="B348">
        <v>345</v>
      </c>
      <c r="C348" s="1">
        <v>44690</v>
      </c>
      <c r="D348" t="s">
        <v>21</v>
      </c>
      <c r="E348" t="s">
        <v>11</v>
      </c>
      <c r="F348">
        <v>20</v>
      </c>
      <c r="G348">
        <v>14</v>
      </c>
      <c r="H348">
        <v>280</v>
      </c>
      <c r="I348" t="s">
        <v>19</v>
      </c>
      <c r="J348" t="s">
        <v>22</v>
      </c>
      <c r="K348" t="s">
        <v>13</v>
      </c>
      <c r="L348">
        <f t="shared" si="15"/>
        <v>2022</v>
      </c>
      <c r="M348" s="13">
        <f t="shared" si="16"/>
        <v>44682</v>
      </c>
      <c r="N348" t="str">
        <f t="shared" si="17"/>
        <v>Online</v>
      </c>
      <c r="O348" t="str">
        <f>IF(Tabla22[[#This Row],[quantity]]&gt;=umbral_grande, "Grande", IF(Tabla22[[#This Row],[quantity]]&gt;=umbral_mediano,"Mediano", "Pequeño"))</f>
        <v>Grande</v>
      </c>
    </row>
    <row r="349" spans="2:15" x14ac:dyDescent="0.25">
      <c r="B349">
        <v>346</v>
      </c>
      <c r="C349" s="1">
        <v>44957</v>
      </c>
      <c r="D349" t="s">
        <v>27</v>
      </c>
      <c r="E349" t="s">
        <v>18</v>
      </c>
      <c r="F349">
        <v>40</v>
      </c>
      <c r="G349">
        <v>12</v>
      </c>
      <c r="H349">
        <v>480</v>
      </c>
      <c r="I349" t="s">
        <v>15</v>
      </c>
      <c r="J349" t="s">
        <v>12</v>
      </c>
      <c r="K349" t="s">
        <v>23</v>
      </c>
      <c r="L349">
        <f t="shared" si="15"/>
        <v>2023</v>
      </c>
      <c r="M349" s="13">
        <f t="shared" si="16"/>
        <v>44927</v>
      </c>
      <c r="N349" t="str">
        <f t="shared" si="17"/>
        <v>Cash</v>
      </c>
      <c r="O349" t="str">
        <f>IF(Tabla22[[#This Row],[quantity]]&gt;=umbral_grande, "Grande", IF(Tabla22[[#This Row],[quantity]]&gt;=umbral_mediano,"Mediano", "Pequeño"))</f>
        <v>Grande</v>
      </c>
    </row>
    <row r="350" spans="2:15" x14ac:dyDescent="0.25">
      <c r="B350">
        <v>347</v>
      </c>
      <c r="C350" s="1">
        <v>44736</v>
      </c>
      <c r="D350" t="s">
        <v>24</v>
      </c>
      <c r="E350" t="s">
        <v>11</v>
      </c>
      <c r="F350">
        <v>50</v>
      </c>
      <c r="G350">
        <v>7</v>
      </c>
      <c r="H350">
        <v>350</v>
      </c>
      <c r="I350" t="s">
        <v>15</v>
      </c>
      <c r="J350" t="s">
        <v>22</v>
      </c>
      <c r="K350" t="s">
        <v>16</v>
      </c>
      <c r="L350">
        <f t="shared" si="15"/>
        <v>2022</v>
      </c>
      <c r="M350" s="13">
        <f t="shared" si="16"/>
        <v>44713</v>
      </c>
      <c r="N350" t="str">
        <f t="shared" si="17"/>
        <v>Cash</v>
      </c>
      <c r="O350" t="str">
        <f>IF(Tabla22[[#This Row],[quantity]]&gt;=umbral_grande, "Grande", IF(Tabla22[[#This Row],[quantity]]&gt;=umbral_mediano,"Mediano", "Pequeño"))</f>
        <v>Mediano</v>
      </c>
    </row>
    <row r="351" spans="2:15" x14ac:dyDescent="0.25">
      <c r="B351">
        <v>348</v>
      </c>
      <c r="C351" s="1">
        <v>44823</v>
      </c>
      <c r="D351" t="s">
        <v>14</v>
      </c>
      <c r="E351" t="s">
        <v>11</v>
      </c>
      <c r="F351">
        <v>20</v>
      </c>
      <c r="G351">
        <v>1</v>
      </c>
      <c r="H351">
        <v>20</v>
      </c>
      <c r="I351" t="s">
        <v>19</v>
      </c>
      <c r="J351" t="s">
        <v>22</v>
      </c>
      <c r="K351" t="s">
        <v>26</v>
      </c>
      <c r="L351">
        <f t="shared" si="15"/>
        <v>2022</v>
      </c>
      <c r="M351" s="13">
        <f t="shared" si="16"/>
        <v>44805</v>
      </c>
      <c r="N351" t="str">
        <f t="shared" si="17"/>
        <v>Online</v>
      </c>
      <c r="O351" t="str">
        <f>IF(Tabla22[[#This Row],[quantity]]&gt;=umbral_grande, "Grande", IF(Tabla22[[#This Row],[quantity]]&gt;=umbral_mediano,"Mediano", "Pequeño"))</f>
        <v>Pequeño</v>
      </c>
    </row>
    <row r="352" spans="2:15" x14ac:dyDescent="0.25">
      <c r="B352">
        <v>349</v>
      </c>
      <c r="C352" s="1">
        <v>44790</v>
      </c>
      <c r="D352" t="s">
        <v>21</v>
      </c>
      <c r="E352" t="s">
        <v>11</v>
      </c>
      <c r="F352">
        <v>20</v>
      </c>
      <c r="G352">
        <v>5</v>
      </c>
      <c r="H352">
        <v>100</v>
      </c>
      <c r="I352" t="s">
        <v>15</v>
      </c>
      <c r="J352" t="s">
        <v>22</v>
      </c>
      <c r="K352" t="s">
        <v>20</v>
      </c>
      <c r="L352">
        <f t="shared" si="15"/>
        <v>2022</v>
      </c>
      <c r="M352" s="13">
        <f t="shared" si="16"/>
        <v>44774</v>
      </c>
      <c r="N352" t="str">
        <f t="shared" si="17"/>
        <v>Cash</v>
      </c>
      <c r="O352" t="str">
        <f>IF(Tabla22[[#This Row],[quantity]]&gt;=umbral_grande, "Grande", IF(Tabla22[[#This Row],[quantity]]&gt;=umbral_mediano,"Mediano", "Pequeño"))</f>
        <v>Pequeño</v>
      </c>
    </row>
    <row r="353" spans="2:15" x14ac:dyDescent="0.25">
      <c r="B353">
        <v>350</v>
      </c>
      <c r="C353" s="1">
        <v>44825</v>
      </c>
      <c r="D353" t="s">
        <v>27</v>
      </c>
      <c r="E353" t="s">
        <v>18</v>
      </c>
      <c r="F353">
        <v>40</v>
      </c>
      <c r="G353">
        <v>8</v>
      </c>
      <c r="H353">
        <v>320</v>
      </c>
      <c r="I353" t="s">
        <v>19</v>
      </c>
      <c r="J353" t="s">
        <v>22</v>
      </c>
      <c r="K353" t="s">
        <v>23</v>
      </c>
      <c r="L353">
        <f t="shared" si="15"/>
        <v>2022</v>
      </c>
      <c r="M353" s="13">
        <f t="shared" si="16"/>
        <v>44805</v>
      </c>
      <c r="N353" t="str">
        <f t="shared" si="17"/>
        <v>Online</v>
      </c>
      <c r="O353" t="str">
        <f>IF(Tabla22[[#This Row],[quantity]]&gt;=umbral_grande, "Grande", IF(Tabla22[[#This Row],[quantity]]&gt;=umbral_mediano,"Mediano", "Pequeño"))</f>
        <v>Mediano</v>
      </c>
    </row>
    <row r="354" spans="2:15" x14ac:dyDescent="0.25">
      <c r="B354">
        <v>351</v>
      </c>
      <c r="C354" s="1">
        <v>44750</v>
      </c>
      <c r="D354" t="s">
        <v>24</v>
      </c>
      <c r="E354" t="s">
        <v>11</v>
      </c>
      <c r="F354">
        <v>50</v>
      </c>
      <c r="G354">
        <v>5</v>
      </c>
      <c r="H354">
        <v>250</v>
      </c>
      <c r="I354" t="s">
        <v>19</v>
      </c>
      <c r="J354" t="s">
        <v>22</v>
      </c>
      <c r="K354" t="s">
        <v>13</v>
      </c>
      <c r="L354">
        <f t="shared" si="15"/>
        <v>2022</v>
      </c>
      <c r="M354" s="13">
        <f t="shared" si="16"/>
        <v>44743</v>
      </c>
      <c r="N354" t="str">
        <f t="shared" si="17"/>
        <v>Online</v>
      </c>
      <c r="O354" t="str">
        <f>IF(Tabla22[[#This Row],[quantity]]&gt;=umbral_grande, "Grande", IF(Tabla22[[#This Row],[quantity]]&gt;=umbral_mediano,"Mediano", "Pequeño"))</f>
        <v>Pequeño</v>
      </c>
    </row>
    <row r="355" spans="2:15" x14ac:dyDescent="0.25">
      <c r="B355">
        <v>352</v>
      </c>
      <c r="C355" s="1">
        <v>44706</v>
      </c>
      <c r="D355" t="s">
        <v>24</v>
      </c>
      <c r="E355" t="s">
        <v>11</v>
      </c>
      <c r="F355">
        <v>50</v>
      </c>
      <c r="G355">
        <v>11</v>
      </c>
      <c r="H355">
        <v>550</v>
      </c>
      <c r="I355" t="s">
        <v>15</v>
      </c>
      <c r="J355" t="s">
        <v>22</v>
      </c>
      <c r="K355" t="s">
        <v>13</v>
      </c>
      <c r="L355">
        <f t="shared" si="15"/>
        <v>2022</v>
      </c>
      <c r="M355" s="13">
        <f t="shared" si="16"/>
        <v>44682</v>
      </c>
      <c r="N355" t="str">
        <f t="shared" si="17"/>
        <v>Cash</v>
      </c>
      <c r="O355" t="str">
        <f>IF(Tabla22[[#This Row],[quantity]]&gt;=umbral_grande, "Grande", IF(Tabla22[[#This Row],[quantity]]&gt;=umbral_mediano,"Mediano", "Pequeño"))</f>
        <v>Grande</v>
      </c>
    </row>
    <row r="356" spans="2:15" x14ac:dyDescent="0.25">
      <c r="B356">
        <v>353</v>
      </c>
      <c r="C356" s="1">
        <v>44699</v>
      </c>
      <c r="D356" t="s">
        <v>14</v>
      </c>
      <c r="E356" t="s">
        <v>11</v>
      </c>
      <c r="F356">
        <v>20</v>
      </c>
      <c r="G356">
        <v>4</v>
      </c>
      <c r="H356">
        <v>80</v>
      </c>
      <c r="I356" t="s">
        <v>19</v>
      </c>
      <c r="J356" t="s">
        <v>22</v>
      </c>
      <c r="K356" t="s">
        <v>26</v>
      </c>
      <c r="L356">
        <f t="shared" si="15"/>
        <v>2022</v>
      </c>
      <c r="M356" s="13">
        <f t="shared" si="16"/>
        <v>44682</v>
      </c>
      <c r="N356" t="str">
        <f t="shared" si="17"/>
        <v>Online</v>
      </c>
      <c r="O356" t="str">
        <f>IF(Tabla22[[#This Row],[quantity]]&gt;=umbral_grande, "Grande", IF(Tabla22[[#This Row],[quantity]]&gt;=umbral_mediano,"Mediano", "Pequeño"))</f>
        <v>Pequeño</v>
      </c>
    </row>
    <row r="357" spans="2:15" x14ac:dyDescent="0.25">
      <c r="B357">
        <v>354</v>
      </c>
      <c r="C357" s="1">
        <v>44942</v>
      </c>
      <c r="D357" t="s">
        <v>21</v>
      </c>
      <c r="E357" t="s">
        <v>11</v>
      </c>
      <c r="F357">
        <v>20</v>
      </c>
      <c r="G357">
        <v>14</v>
      </c>
      <c r="H357">
        <v>280</v>
      </c>
      <c r="I357" t="s">
        <v>19</v>
      </c>
      <c r="J357" t="s">
        <v>12</v>
      </c>
      <c r="K357" t="s">
        <v>26</v>
      </c>
      <c r="L357">
        <f t="shared" si="15"/>
        <v>2023</v>
      </c>
      <c r="M357" s="13">
        <f t="shared" si="16"/>
        <v>44927</v>
      </c>
      <c r="N357" t="str">
        <f t="shared" si="17"/>
        <v>Online</v>
      </c>
      <c r="O357" t="str">
        <f>IF(Tabla22[[#This Row],[quantity]]&gt;=umbral_grande, "Grande", IF(Tabla22[[#This Row],[quantity]]&gt;=umbral_mediano,"Mediano", "Pequeño"))</f>
        <v>Grande</v>
      </c>
    </row>
    <row r="358" spans="2:15" x14ac:dyDescent="0.25">
      <c r="B358">
        <v>355</v>
      </c>
      <c r="C358" s="1">
        <v>45000</v>
      </c>
      <c r="D358" t="s">
        <v>27</v>
      </c>
      <c r="E358" t="s">
        <v>18</v>
      </c>
      <c r="F358">
        <v>40</v>
      </c>
      <c r="G358">
        <v>4</v>
      </c>
      <c r="H358">
        <v>160</v>
      </c>
      <c r="I358" t="s">
        <v>19</v>
      </c>
      <c r="J358" t="s">
        <v>12</v>
      </c>
      <c r="K358" t="s">
        <v>26</v>
      </c>
      <c r="L358">
        <f t="shared" si="15"/>
        <v>2023</v>
      </c>
      <c r="M358" s="13">
        <f t="shared" si="16"/>
        <v>44986</v>
      </c>
      <c r="N358" t="str">
        <f t="shared" si="17"/>
        <v>Online</v>
      </c>
      <c r="O358" t="str">
        <f>IF(Tabla22[[#This Row],[quantity]]&gt;=umbral_grande, "Grande", IF(Tabla22[[#This Row],[quantity]]&gt;=umbral_mediano,"Mediano", "Pequeño"))</f>
        <v>Pequeño</v>
      </c>
    </row>
    <row r="359" spans="2:15" x14ac:dyDescent="0.25">
      <c r="B359">
        <v>356</v>
      </c>
      <c r="C359" s="1">
        <v>44707</v>
      </c>
      <c r="D359" t="s">
        <v>17</v>
      </c>
      <c r="E359" t="s">
        <v>18</v>
      </c>
      <c r="F359">
        <v>25</v>
      </c>
      <c r="G359">
        <v>14</v>
      </c>
      <c r="H359">
        <v>350</v>
      </c>
      <c r="I359" t="s">
        <v>15</v>
      </c>
      <c r="J359" t="s">
        <v>22</v>
      </c>
      <c r="K359" t="s">
        <v>13</v>
      </c>
      <c r="L359">
        <f t="shared" si="15"/>
        <v>2022</v>
      </c>
      <c r="M359" s="13">
        <f t="shared" si="16"/>
        <v>44682</v>
      </c>
      <c r="N359" t="str">
        <f t="shared" si="17"/>
        <v>Cash</v>
      </c>
      <c r="O359" t="str">
        <f>IF(Tabla22[[#This Row],[quantity]]&gt;=umbral_grande, "Grande", IF(Tabla22[[#This Row],[quantity]]&gt;=umbral_mediano,"Mediano", "Pequeño"))</f>
        <v>Grande</v>
      </c>
    </row>
    <row r="360" spans="2:15" x14ac:dyDescent="0.25">
      <c r="B360">
        <v>357</v>
      </c>
      <c r="C360" s="1">
        <v>44825</v>
      </c>
      <c r="D360" t="s">
        <v>25</v>
      </c>
      <c r="E360" t="s">
        <v>11</v>
      </c>
      <c r="F360">
        <v>60</v>
      </c>
      <c r="G360">
        <v>9</v>
      </c>
      <c r="H360">
        <v>540</v>
      </c>
      <c r="I360" t="s">
        <v>19</v>
      </c>
      <c r="J360" t="s">
        <v>22</v>
      </c>
      <c r="K360" t="s">
        <v>16</v>
      </c>
      <c r="L360">
        <f t="shared" si="15"/>
        <v>2022</v>
      </c>
      <c r="M360" s="13">
        <f t="shared" si="16"/>
        <v>44805</v>
      </c>
      <c r="N360" t="str">
        <f t="shared" si="17"/>
        <v>Online</v>
      </c>
      <c r="O360" t="str">
        <f>IF(Tabla22[[#This Row],[quantity]]&gt;=umbral_grande, "Grande", IF(Tabla22[[#This Row],[quantity]]&gt;=umbral_mediano,"Mediano", "Pequeño"))</f>
        <v>Mediano</v>
      </c>
    </row>
    <row r="361" spans="2:15" x14ac:dyDescent="0.25">
      <c r="B361">
        <v>358</v>
      </c>
      <c r="C361" s="1">
        <v>44861</v>
      </c>
      <c r="D361" t="s">
        <v>10</v>
      </c>
      <c r="E361" t="s">
        <v>11</v>
      </c>
      <c r="F361">
        <v>20</v>
      </c>
      <c r="G361">
        <v>6</v>
      </c>
      <c r="H361">
        <v>120</v>
      </c>
      <c r="I361" t="s">
        <v>15</v>
      </c>
      <c r="J361" t="s">
        <v>12</v>
      </c>
      <c r="K361" t="s">
        <v>13</v>
      </c>
      <c r="L361">
        <f t="shared" si="15"/>
        <v>2022</v>
      </c>
      <c r="M361" s="13">
        <f t="shared" si="16"/>
        <v>44835</v>
      </c>
      <c r="N361" t="str">
        <f t="shared" si="17"/>
        <v>Cash</v>
      </c>
      <c r="O361" t="str">
        <f>IF(Tabla22[[#This Row],[quantity]]&gt;=umbral_grande, "Grande", IF(Tabla22[[#This Row],[quantity]]&gt;=umbral_mediano,"Mediano", "Pequeño"))</f>
        <v>Mediano</v>
      </c>
    </row>
    <row r="362" spans="2:15" x14ac:dyDescent="0.25">
      <c r="B362">
        <v>359</v>
      </c>
      <c r="C362" s="1">
        <v>44800</v>
      </c>
      <c r="D362" t="s">
        <v>10</v>
      </c>
      <c r="E362" t="s">
        <v>11</v>
      </c>
      <c r="F362">
        <v>20</v>
      </c>
      <c r="G362">
        <v>13</v>
      </c>
      <c r="H362">
        <v>260</v>
      </c>
      <c r="I362" t="s">
        <v>19</v>
      </c>
      <c r="J362" t="s">
        <v>22</v>
      </c>
      <c r="K362" t="s">
        <v>13</v>
      </c>
      <c r="L362">
        <f t="shared" si="15"/>
        <v>2022</v>
      </c>
      <c r="M362" s="13">
        <f t="shared" si="16"/>
        <v>44774</v>
      </c>
      <c r="N362" t="str">
        <f t="shared" si="17"/>
        <v>Online</v>
      </c>
      <c r="O362" t="str">
        <f>IF(Tabla22[[#This Row],[quantity]]&gt;=umbral_grande, "Grande", IF(Tabla22[[#This Row],[quantity]]&gt;=umbral_mediano,"Mediano", "Pequeño"))</f>
        <v>Grande</v>
      </c>
    </row>
    <row r="363" spans="2:15" x14ac:dyDescent="0.25">
      <c r="B363">
        <v>360</v>
      </c>
      <c r="C363" s="1">
        <v>44840</v>
      </c>
      <c r="D363" t="s">
        <v>27</v>
      </c>
      <c r="E363" t="s">
        <v>18</v>
      </c>
      <c r="F363">
        <v>40</v>
      </c>
      <c r="G363">
        <v>2</v>
      </c>
      <c r="H363">
        <v>80</v>
      </c>
      <c r="I363" t="s">
        <v>19</v>
      </c>
      <c r="J363" t="s">
        <v>22</v>
      </c>
      <c r="K363" t="s">
        <v>26</v>
      </c>
      <c r="L363">
        <f t="shared" si="15"/>
        <v>2022</v>
      </c>
      <c r="M363" s="13">
        <f t="shared" si="16"/>
        <v>44835</v>
      </c>
      <c r="N363" t="str">
        <f t="shared" si="17"/>
        <v>Online</v>
      </c>
      <c r="O363" t="str">
        <f>IF(Tabla22[[#This Row],[quantity]]&gt;=umbral_grande, "Grande", IF(Tabla22[[#This Row],[quantity]]&gt;=umbral_mediano,"Mediano", "Pequeño"))</f>
        <v>Pequeño</v>
      </c>
    </row>
    <row r="364" spans="2:15" x14ac:dyDescent="0.25">
      <c r="B364">
        <v>361</v>
      </c>
      <c r="C364" s="1">
        <v>44742</v>
      </c>
      <c r="D364" t="s">
        <v>25</v>
      </c>
      <c r="E364" t="s">
        <v>11</v>
      </c>
      <c r="F364">
        <v>60</v>
      </c>
      <c r="G364">
        <v>15</v>
      </c>
      <c r="H364">
        <v>900</v>
      </c>
      <c r="J364" t="s">
        <v>22</v>
      </c>
      <c r="K364" t="s">
        <v>13</v>
      </c>
      <c r="L364">
        <f t="shared" si="15"/>
        <v>2022</v>
      </c>
      <c r="M364" s="13">
        <f t="shared" si="16"/>
        <v>44713</v>
      </c>
      <c r="N364" t="str">
        <f t="shared" si="17"/>
        <v>Sin registrar</v>
      </c>
      <c r="O364" t="str">
        <f>IF(Tabla22[[#This Row],[quantity]]&gt;=umbral_grande, "Grande", IF(Tabla22[[#This Row],[quantity]]&gt;=umbral_mediano,"Mediano", "Pequeño"))</f>
        <v>Grande</v>
      </c>
    </row>
    <row r="365" spans="2:15" x14ac:dyDescent="0.25">
      <c r="B365">
        <v>362</v>
      </c>
      <c r="C365" s="1">
        <v>44925</v>
      </c>
      <c r="D365" t="s">
        <v>17</v>
      </c>
      <c r="E365" t="s">
        <v>18</v>
      </c>
      <c r="F365">
        <v>25</v>
      </c>
      <c r="G365">
        <v>2</v>
      </c>
      <c r="H365">
        <v>50</v>
      </c>
      <c r="I365" t="s">
        <v>15</v>
      </c>
      <c r="J365" t="s">
        <v>12</v>
      </c>
      <c r="K365" t="s">
        <v>23</v>
      </c>
      <c r="L365">
        <f t="shared" si="15"/>
        <v>2022</v>
      </c>
      <c r="M365" s="13">
        <f t="shared" si="16"/>
        <v>44896</v>
      </c>
      <c r="N365" t="str">
        <f t="shared" si="17"/>
        <v>Cash</v>
      </c>
      <c r="O365" t="str">
        <f>IF(Tabla22[[#This Row],[quantity]]&gt;=umbral_grande, "Grande", IF(Tabla22[[#This Row],[quantity]]&gt;=umbral_mediano,"Mediano", "Pequeño"))</f>
        <v>Pequeño</v>
      </c>
    </row>
    <row r="366" spans="2:15" x14ac:dyDescent="0.25">
      <c r="B366">
        <v>363</v>
      </c>
      <c r="C366" s="1">
        <v>44690</v>
      </c>
      <c r="D366" t="s">
        <v>24</v>
      </c>
      <c r="E366" t="s">
        <v>11</v>
      </c>
      <c r="F366">
        <v>50</v>
      </c>
      <c r="G366">
        <v>9</v>
      </c>
      <c r="H366">
        <v>450</v>
      </c>
      <c r="I366" t="s">
        <v>19</v>
      </c>
      <c r="J366" t="s">
        <v>12</v>
      </c>
      <c r="K366" t="s">
        <v>16</v>
      </c>
      <c r="L366">
        <f t="shared" si="15"/>
        <v>2022</v>
      </c>
      <c r="M366" s="13">
        <f t="shared" si="16"/>
        <v>44682</v>
      </c>
      <c r="N366" t="str">
        <f t="shared" si="17"/>
        <v>Online</v>
      </c>
      <c r="O366" t="str">
        <f>IF(Tabla22[[#This Row],[quantity]]&gt;=umbral_grande, "Grande", IF(Tabla22[[#This Row],[quantity]]&gt;=umbral_mediano,"Mediano", "Pequeño"))</f>
        <v>Mediano</v>
      </c>
    </row>
    <row r="367" spans="2:15" x14ac:dyDescent="0.25">
      <c r="B367">
        <v>364</v>
      </c>
      <c r="C367" s="1">
        <v>44845</v>
      </c>
      <c r="D367" t="s">
        <v>27</v>
      </c>
      <c r="E367" t="s">
        <v>18</v>
      </c>
      <c r="F367">
        <v>40</v>
      </c>
      <c r="G367">
        <v>2</v>
      </c>
      <c r="H367">
        <v>80</v>
      </c>
      <c r="I367" t="s">
        <v>19</v>
      </c>
      <c r="J367" t="s">
        <v>12</v>
      </c>
      <c r="K367" t="s">
        <v>13</v>
      </c>
      <c r="L367">
        <f t="shared" si="15"/>
        <v>2022</v>
      </c>
      <c r="M367" s="13">
        <f t="shared" si="16"/>
        <v>44835</v>
      </c>
      <c r="N367" t="str">
        <f t="shared" si="17"/>
        <v>Online</v>
      </c>
      <c r="O367" t="str">
        <f>IF(Tabla22[[#This Row],[quantity]]&gt;=umbral_grande, "Grande", IF(Tabla22[[#This Row],[quantity]]&gt;=umbral_mediano,"Mediano", "Pequeño"))</f>
        <v>Pequeño</v>
      </c>
    </row>
    <row r="368" spans="2:15" x14ac:dyDescent="0.25">
      <c r="B368">
        <v>365</v>
      </c>
      <c r="C368" s="1">
        <v>44750</v>
      </c>
      <c r="D368" t="s">
        <v>21</v>
      </c>
      <c r="E368" t="s">
        <v>11</v>
      </c>
      <c r="F368">
        <v>20</v>
      </c>
      <c r="G368">
        <v>10</v>
      </c>
      <c r="H368">
        <v>200</v>
      </c>
      <c r="I368" t="s">
        <v>19</v>
      </c>
      <c r="J368" t="s">
        <v>12</v>
      </c>
      <c r="K368" t="s">
        <v>13</v>
      </c>
      <c r="L368">
        <f t="shared" si="15"/>
        <v>2022</v>
      </c>
      <c r="M368" s="13">
        <f t="shared" si="16"/>
        <v>44743</v>
      </c>
      <c r="N368" t="str">
        <f t="shared" si="17"/>
        <v>Online</v>
      </c>
      <c r="O368" t="str">
        <f>IF(Tabla22[[#This Row],[quantity]]&gt;=umbral_grande, "Grande", IF(Tabla22[[#This Row],[quantity]]&gt;=umbral_mediano,"Mediano", "Pequeño"))</f>
        <v>Mediano</v>
      </c>
    </row>
    <row r="369" spans="2:15" x14ac:dyDescent="0.25">
      <c r="B369">
        <v>366</v>
      </c>
      <c r="C369" s="1">
        <v>44895</v>
      </c>
      <c r="D369" t="s">
        <v>17</v>
      </c>
      <c r="E369" t="s">
        <v>18</v>
      </c>
      <c r="F369">
        <v>25</v>
      </c>
      <c r="G369">
        <v>10</v>
      </c>
      <c r="H369">
        <v>250</v>
      </c>
      <c r="I369" t="s">
        <v>19</v>
      </c>
      <c r="J369" t="s">
        <v>22</v>
      </c>
      <c r="K369" t="s">
        <v>16</v>
      </c>
      <c r="L369">
        <f t="shared" si="15"/>
        <v>2022</v>
      </c>
      <c r="M369" s="13">
        <f t="shared" si="16"/>
        <v>44866</v>
      </c>
      <c r="N369" t="str">
        <f t="shared" si="17"/>
        <v>Online</v>
      </c>
      <c r="O369" t="str">
        <f>IF(Tabla22[[#This Row],[quantity]]&gt;=umbral_grande, "Grande", IF(Tabla22[[#This Row],[quantity]]&gt;=umbral_mediano,"Mediano", "Pequeño"))</f>
        <v>Mediano</v>
      </c>
    </row>
    <row r="370" spans="2:15" x14ac:dyDescent="0.25">
      <c r="B370">
        <v>367</v>
      </c>
      <c r="C370" s="1">
        <v>44783</v>
      </c>
      <c r="D370" t="s">
        <v>21</v>
      </c>
      <c r="E370" t="s">
        <v>11</v>
      </c>
      <c r="F370">
        <v>20</v>
      </c>
      <c r="G370">
        <v>6</v>
      </c>
      <c r="H370">
        <v>120</v>
      </c>
      <c r="J370" t="s">
        <v>12</v>
      </c>
      <c r="K370" t="s">
        <v>16</v>
      </c>
      <c r="L370">
        <f t="shared" si="15"/>
        <v>2022</v>
      </c>
      <c r="M370" s="13">
        <f t="shared" si="16"/>
        <v>44774</v>
      </c>
      <c r="N370" t="str">
        <f t="shared" si="17"/>
        <v>Sin registrar</v>
      </c>
      <c r="O370" t="str">
        <f>IF(Tabla22[[#This Row],[quantity]]&gt;=umbral_grande, "Grande", IF(Tabla22[[#This Row],[quantity]]&gt;=umbral_mediano,"Mediano", "Pequeño"))</f>
        <v>Mediano</v>
      </c>
    </row>
    <row r="371" spans="2:15" x14ac:dyDescent="0.25">
      <c r="B371">
        <v>368</v>
      </c>
      <c r="C371" s="1">
        <v>44804</v>
      </c>
      <c r="D371" t="s">
        <v>27</v>
      </c>
      <c r="E371" t="s">
        <v>18</v>
      </c>
      <c r="F371">
        <v>40</v>
      </c>
      <c r="G371">
        <v>2</v>
      </c>
      <c r="H371">
        <v>80</v>
      </c>
      <c r="I371" t="s">
        <v>15</v>
      </c>
      <c r="J371" t="s">
        <v>12</v>
      </c>
      <c r="K371" t="s">
        <v>13</v>
      </c>
      <c r="L371">
        <f t="shared" si="15"/>
        <v>2022</v>
      </c>
      <c r="M371" s="13">
        <f t="shared" si="16"/>
        <v>44774</v>
      </c>
      <c r="N371" t="str">
        <f t="shared" si="17"/>
        <v>Cash</v>
      </c>
      <c r="O371" t="str">
        <f>IF(Tabla22[[#This Row],[quantity]]&gt;=umbral_grande, "Grande", IF(Tabla22[[#This Row],[quantity]]&gt;=umbral_mediano,"Mediano", "Pequeño"))</f>
        <v>Pequeño</v>
      </c>
    </row>
    <row r="372" spans="2:15" x14ac:dyDescent="0.25">
      <c r="B372">
        <v>369</v>
      </c>
      <c r="C372" s="1">
        <v>44745</v>
      </c>
      <c r="D372" t="s">
        <v>25</v>
      </c>
      <c r="E372" t="s">
        <v>11</v>
      </c>
      <c r="F372">
        <v>60</v>
      </c>
      <c r="G372">
        <v>2</v>
      </c>
      <c r="H372">
        <v>120</v>
      </c>
      <c r="I372" t="s">
        <v>19</v>
      </c>
      <c r="J372" t="s">
        <v>22</v>
      </c>
      <c r="K372" t="s">
        <v>20</v>
      </c>
      <c r="L372">
        <f t="shared" si="15"/>
        <v>2022</v>
      </c>
      <c r="M372" s="13">
        <f t="shared" si="16"/>
        <v>44743</v>
      </c>
      <c r="N372" t="str">
        <f t="shared" si="17"/>
        <v>Online</v>
      </c>
      <c r="O372" t="str">
        <f>IF(Tabla22[[#This Row],[quantity]]&gt;=umbral_grande, "Grande", IF(Tabla22[[#This Row],[quantity]]&gt;=umbral_mediano,"Mediano", "Pequeño"))</f>
        <v>Pequeño</v>
      </c>
    </row>
    <row r="373" spans="2:15" x14ac:dyDescent="0.25">
      <c r="B373">
        <v>370</v>
      </c>
      <c r="C373" s="1">
        <v>44709</v>
      </c>
      <c r="D373" t="s">
        <v>21</v>
      </c>
      <c r="E373" t="s">
        <v>11</v>
      </c>
      <c r="F373">
        <v>20</v>
      </c>
      <c r="G373">
        <v>5</v>
      </c>
      <c r="H373">
        <v>100</v>
      </c>
      <c r="J373" t="s">
        <v>22</v>
      </c>
      <c r="K373" t="s">
        <v>26</v>
      </c>
      <c r="L373">
        <f t="shared" si="15"/>
        <v>2022</v>
      </c>
      <c r="M373" s="13">
        <f t="shared" si="16"/>
        <v>44682</v>
      </c>
      <c r="N373" t="str">
        <f t="shared" si="17"/>
        <v>Sin registrar</v>
      </c>
      <c r="O373" t="str">
        <f>IF(Tabla22[[#This Row],[quantity]]&gt;=umbral_grande, "Grande", IF(Tabla22[[#This Row],[quantity]]&gt;=umbral_mediano,"Mediano", "Pequeño"))</f>
        <v>Pequeño</v>
      </c>
    </row>
    <row r="374" spans="2:15" x14ac:dyDescent="0.25">
      <c r="B374">
        <v>371</v>
      </c>
      <c r="C374" s="1">
        <v>44852</v>
      </c>
      <c r="D374" t="s">
        <v>14</v>
      </c>
      <c r="E374" t="s">
        <v>11</v>
      </c>
      <c r="F374">
        <v>20</v>
      </c>
      <c r="G374">
        <v>5</v>
      </c>
      <c r="H374">
        <v>100</v>
      </c>
      <c r="I374" t="s">
        <v>19</v>
      </c>
      <c r="J374" t="s">
        <v>22</v>
      </c>
      <c r="K374" t="s">
        <v>13</v>
      </c>
      <c r="L374">
        <f t="shared" si="15"/>
        <v>2022</v>
      </c>
      <c r="M374" s="13">
        <f t="shared" si="16"/>
        <v>44835</v>
      </c>
      <c r="N374" t="str">
        <f t="shared" si="17"/>
        <v>Online</v>
      </c>
      <c r="O374" t="str">
        <f>IF(Tabla22[[#This Row],[quantity]]&gt;=umbral_grande, "Grande", IF(Tabla22[[#This Row],[quantity]]&gt;=umbral_mediano,"Mediano", "Pequeño"))</f>
        <v>Pequeño</v>
      </c>
    </row>
    <row r="375" spans="2:15" x14ac:dyDescent="0.25">
      <c r="B375">
        <v>372</v>
      </c>
      <c r="C375" s="1">
        <v>44884</v>
      </c>
      <c r="D375" t="s">
        <v>24</v>
      </c>
      <c r="E375" t="s">
        <v>11</v>
      </c>
      <c r="F375">
        <v>50</v>
      </c>
      <c r="G375">
        <v>12</v>
      </c>
      <c r="H375">
        <v>600</v>
      </c>
      <c r="J375" t="s">
        <v>12</v>
      </c>
      <c r="K375" t="s">
        <v>23</v>
      </c>
      <c r="L375">
        <f t="shared" si="15"/>
        <v>2022</v>
      </c>
      <c r="M375" s="13">
        <f t="shared" si="16"/>
        <v>44866</v>
      </c>
      <c r="N375" t="str">
        <f t="shared" si="17"/>
        <v>Sin registrar</v>
      </c>
      <c r="O375" t="str">
        <f>IF(Tabla22[[#This Row],[quantity]]&gt;=umbral_grande, "Grande", IF(Tabla22[[#This Row],[quantity]]&gt;=umbral_mediano,"Mediano", "Pequeño"))</f>
        <v>Grande</v>
      </c>
    </row>
    <row r="376" spans="2:15" x14ac:dyDescent="0.25">
      <c r="B376">
        <v>373</v>
      </c>
      <c r="C376" s="1">
        <v>44689</v>
      </c>
      <c r="D376" t="s">
        <v>17</v>
      </c>
      <c r="E376" t="s">
        <v>18</v>
      </c>
      <c r="F376">
        <v>25</v>
      </c>
      <c r="G376">
        <v>12</v>
      </c>
      <c r="H376">
        <v>300</v>
      </c>
      <c r="I376" t="s">
        <v>15</v>
      </c>
      <c r="J376" t="s">
        <v>22</v>
      </c>
      <c r="K376" t="s">
        <v>26</v>
      </c>
      <c r="L376">
        <f t="shared" si="15"/>
        <v>2022</v>
      </c>
      <c r="M376" s="13">
        <f t="shared" si="16"/>
        <v>44682</v>
      </c>
      <c r="N376" t="str">
        <f t="shared" si="17"/>
        <v>Cash</v>
      </c>
      <c r="O376" t="str">
        <f>IF(Tabla22[[#This Row],[quantity]]&gt;=umbral_grande, "Grande", IF(Tabla22[[#This Row],[quantity]]&gt;=umbral_mediano,"Mediano", "Pequeño"))</f>
        <v>Grande</v>
      </c>
    </row>
    <row r="377" spans="2:15" x14ac:dyDescent="0.25">
      <c r="B377">
        <v>374</v>
      </c>
      <c r="C377" s="1">
        <v>44766</v>
      </c>
      <c r="D377" t="s">
        <v>24</v>
      </c>
      <c r="E377" t="s">
        <v>11</v>
      </c>
      <c r="F377">
        <v>50</v>
      </c>
      <c r="G377">
        <v>10</v>
      </c>
      <c r="H377">
        <v>500</v>
      </c>
      <c r="I377" t="s">
        <v>19</v>
      </c>
      <c r="J377" t="s">
        <v>12</v>
      </c>
      <c r="K377" t="s">
        <v>26</v>
      </c>
      <c r="L377">
        <f t="shared" si="15"/>
        <v>2022</v>
      </c>
      <c r="M377" s="13">
        <f t="shared" si="16"/>
        <v>44743</v>
      </c>
      <c r="N377" t="str">
        <f t="shared" si="17"/>
        <v>Online</v>
      </c>
      <c r="O377" t="str">
        <f>IF(Tabla22[[#This Row],[quantity]]&gt;=umbral_grande, "Grande", IF(Tabla22[[#This Row],[quantity]]&gt;=umbral_mediano,"Mediano", "Pequeño"))</f>
        <v>Mediano</v>
      </c>
    </row>
    <row r="378" spans="2:15" x14ac:dyDescent="0.25">
      <c r="B378">
        <v>375</v>
      </c>
      <c r="C378" s="1">
        <v>44882</v>
      </c>
      <c r="D378" t="s">
        <v>21</v>
      </c>
      <c r="E378" t="s">
        <v>11</v>
      </c>
      <c r="F378">
        <v>20</v>
      </c>
      <c r="G378">
        <v>13</v>
      </c>
      <c r="H378">
        <v>260</v>
      </c>
      <c r="I378" t="s">
        <v>15</v>
      </c>
      <c r="J378" t="s">
        <v>12</v>
      </c>
      <c r="K378" t="s">
        <v>20</v>
      </c>
      <c r="L378">
        <f t="shared" si="15"/>
        <v>2022</v>
      </c>
      <c r="M378" s="13">
        <f t="shared" si="16"/>
        <v>44866</v>
      </c>
      <c r="N378" t="str">
        <f t="shared" si="17"/>
        <v>Cash</v>
      </c>
      <c r="O378" t="str">
        <f>IF(Tabla22[[#This Row],[quantity]]&gt;=umbral_grande, "Grande", IF(Tabla22[[#This Row],[quantity]]&gt;=umbral_mediano,"Mediano", "Pequeño"))</f>
        <v>Grande</v>
      </c>
    </row>
    <row r="379" spans="2:15" x14ac:dyDescent="0.25">
      <c r="B379">
        <v>376</v>
      </c>
      <c r="C379" s="1">
        <v>44899</v>
      </c>
      <c r="D379" t="s">
        <v>24</v>
      </c>
      <c r="E379" t="s">
        <v>11</v>
      </c>
      <c r="F379">
        <v>50</v>
      </c>
      <c r="G379">
        <v>15</v>
      </c>
      <c r="H379">
        <v>750</v>
      </c>
      <c r="I379" t="s">
        <v>15</v>
      </c>
      <c r="J379" t="s">
        <v>12</v>
      </c>
      <c r="K379" t="s">
        <v>26</v>
      </c>
      <c r="L379">
        <f t="shared" si="15"/>
        <v>2022</v>
      </c>
      <c r="M379" s="13">
        <f t="shared" si="16"/>
        <v>44896</v>
      </c>
      <c r="N379" t="str">
        <f t="shared" si="17"/>
        <v>Cash</v>
      </c>
      <c r="O379" t="str">
        <f>IF(Tabla22[[#This Row],[quantity]]&gt;=umbral_grande, "Grande", IF(Tabla22[[#This Row],[quantity]]&gt;=umbral_mediano,"Mediano", "Pequeño"))</f>
        <v>Grande</v>
      </c>
    </row>
    <row r="380" spans="2:15" x14ac:dyDescent="0.25">
      <c r="B380">
        <v>377</v>
      </c>
      <c r="C380" s="1">
        <v>44701</v>
      </c>
      <c r="D380" t="s">
        <v>17</v>
      </c>
      <c r="E380" t="s">
        <v>18</v>
      </c>
      <c r="F380">
        <v>25</v>
      </c>
      <c r="G380">
        <v>3</v>
      </c>
      <c r="H380">
        <v>75</v>
      </c>
      <c r="I380" t="s">
        <v>19</v>
      </c>
      <c r="J380" t="s">
        <v>22</v>
      </c>
      <c r="K380" t="s">
        <v>20</v>
      </c>
      <c r="L380">
        <f t="shared" si="15"/>
        <v>2022</v>
      </c>
      <c r="M380" s="13">
        <f t="shared" si="16"/>
        <v>44682</v>
      </c>
      <c r="N380" t="str">
        <f t="shared" si="17"/>
        <v>Online</v>
      </c>
      <c r="O380" t="str">
        <f>IF(Tabla22[[#This Row],[quantity]]&gt;=umbral_grande, "Grande", IF(Tabla22[[#This Row],[quantity]]&gt;=umbral_mediano,"Mediano", "Pequeño"))</f>
        <v>Pequeño</v>
      </c>
    </row>
    <row r="381" spans="2:15" x14ac:dyDescent="0.25">
      <c r="B381">
        <v>378</v>
      </c>
      <c r="C381" s="1">
        <v>44675</v>
      </c>
      <c r="D381" t="s">
        <v>14</v>
      </c>
      <c r="E381" t="s">
        <v>11</v>
      </c>
      <c r="F381">
        <v>20</v>
      </c>
      <c r="G381">
        <v>2</v>
      </c>
      <c r="H381">
        <v>40</v>
      </c>
      <c r="I381" t="s">
        <v>15</v>
      </c>
      <c r="J381" t="s">
        <v>22</v>
      </c>
      <c r="K381" t="s">
        <v>26</v>
      </c>
      <c r="L381">
        <f t="shared" si="15"/>
        <v>2022</v>
      </c>
      <c r="M381" s="13">
        <f t="shared" si="16"/>
        <v>44652</v>
      </c>
      <c r="N381" t="str">
        <f t="shared" si="17"/>
        <v>Cash</v>
      </c>
      <c r="O381" t="str">
        <f>IF(Tabla22[[#This Row],[quantity]]&gt;=umbral_grande, "Grande", IF(Tabla22[[#This Row],[quantity]]&gt;=umbral_mediano,"Mediano", "Pequeño"))</f>
        <v>Pequeño</v>
      </c>
    </row>
    <row r="382" spans="2:15" x14ac:dyDescent="0.25">
      <c r="B382">
        <v>379</v>
      </c>
      <c r="C382" s="1">
        <v>44972</v>
      </c>
      <c r="D382" t="s">
        <v>27</v>
      </c>
      <c r="E382" t="s">
        <v>18</v>
      </c>
      <c r="F382">
        <v>40</v>
      </c>
      <c r="G382">
        <v>14</v>
      </c>
      <c r="H382">
        <v>560</v>
      </c>
      <c r="J382" t="s">
        <v>12</v>
      </c>
      <c r="K382" t="s">
        <v>16</v>
      </c>
      <c r="L382">
        <f t="shared" si="15"/>
        <v>2023</v>
      </c>
      <c r="M382" s="13">
        <f t="shared" si="16"/>
        <v>44958</v>
      </c>
      <c r="N382" t="str">
        <f t="shared" si="17"/>
        <v>Sin registrar</v>
      </c>
      <c r="O382" t="str">
        <f>IF(Tabla22[[#This Row],[quantity]]&gt;=umbral_grande, "Grande", IF(Tabla22[[#This Row],[quantity]]&gt;=umbral_mediano,"Mediano", "Pequeño"))</f>
        <v>Grande</v>
      </c>
    </row>
    <row r="383" spans="2:15" x14ac:dyDescent="0.25">
      <c r="B383">
        <v>380</v>
      </c>
      <c r="C383" s="1">
        <v>44854</v>
      </c>
      <c r="D383" t="s">
        <v>25</v>
      </c>
      <c r="E383" t="s">
        <v>11</v>
      </c>
      <c r="F383">
        <v>60</v>
      </c>
      <c r="G383">
        <v>5</v>
      </c>
      <c r="H383">
        <v>300</v>
      </c>
      <c r="I383" t="s">
        <v>19</v>
      </c>
      <c r="J383" t="s">
        <v>22</v>
      </c>
      <c r="K383" t="s">
        <v>16</v>
      </c>
      <c r="L383">
        <f t="shared" si="15"/>
        <v>2022</v>
      </c>
      <c r="M383" s="13">
        <f t="shared" si="16"/>
        <v>44835</v>
      </c>
      <c r="N383" t="str">
        <f t="shared" si="17"/>
        <v>Online</v>
      </c>
      <c r="O383" t="str">
        <f>IF(Tabla22[[#This Row],[quantity]]&gt;=umbral_grande, "Grande", IF(Tabla22[[#This Row],[quantity]]&gt;=umbral_mediano,"Mediano", "Pequeño"))</f>
        <v>Pequeño</v>
      </c>
    </row>
    <row r="384" spans="2:15" x14ac:dyDescent="0.25">
      <c r="B384">
        <v>381</v>
      </c>
      <c r="C384" s="1">
        <v>44983</v>
      </c>
      <c r="D384" t="s">
        <v>14</v>
      </c>
      <c r="E384" t="s">
        <v>11</v>
      </c>
      <c r="F384">
        <v>20</v>
      </c>
      <c r="G384">
        <v>1</v>
      </c>
      <c r="H384">
        <v>20</v>
      </c>
      <c r="I384" t="s">
        <v>19</v>
      </c>
      <c r="J384" t="s">
        <v>12</v>
      </c>
      <c r="K384" t="s">
        <v>23</v>
      </c>
      <c r="L384">
        <f t="shared" si="15"/>
        <v>2023</v>
      </c>
      <c r="M384" s="13">
        <f t="shared" si="16"/>
        <v>44958</v>
      </c>
      <c r="N384" t="str">
        <f t="shared" si="17"/>
        <v>Online</v>
      </c>
      <c r="O384" t="str">
        <f>IF(Tabla22[[#This Row],[quantity]]&gt;=umbral_grande, "Grande", IF(Tabla22[[#This Row],[quantity]]&gt;=umbral_mediano,"Mediano", "Pequeño"))</f>
        <v>Pequeño</v>
      </c>
    </row>
    <row r="385" spans="2:15" x14ac:dyDescent="0.25">
      <c r="B385">
        <v>382</v>
      </c>
      <c r="C385" s="1">
        <v>44789</v>
      </c>
      <c r="D385" t="s">
        <v>27</v>
      </c>
      <c r="E385" t="s">
        <v>18</v>
      </c>
      <c r="F385">
        <v>40</v>
      </c>
      <c r="G385">
        <v>9</v>
      </c>
      <c r="H385">
        <v>360</v>
      </c>
      <c r="I385" t="s">
        <v>15</v>
      </c>
      <c r="J385" t="s">
        <v>22</v>
      </c>
      <c r="K385" t="s">
        <v>13</v>
      </c>
      <c r="L385">
        <f t="shared" si="15"/>
        <v>2022</v>
      </c>
      <c r="M385" s="13">
        <f t="shared" si="16"/>
        <v>44774</v>
      </c>
      <c r="N385" t="str">
        <f t="shared" si="17"/>
        <v>Cash</v>
      </c>
      <c r="O385" t="str">
        <f>IF(Tabla22[[#This Row],[quantity]]&gt;=umbral_grande, "Grande", IF(Tabla22[[#This Row],[quantity]]&gt;=umbral_mediano,"Mediano", "Pequeño"))</f>
        <v>Mediano</v>
      </c>
    </row>
    <row r="386" spans="2:15" x14ac:dyDescent="0.25">
      <c r="B386">
        <v>383</v>
      </c>
      <c r="C386" s="1">
        <v>44687</v>
      </c>
      <c r="D386" t="s">
        <v>10</v>
      </c>
      <c r="E386" t="s">
        <v>11</v>
      </c>
      <c r="F386">
        <v>20</v>
      </c>
      <c r="G386">
        <v>7</v>
      </c>
      <c r="H386">
        <v>140</v>
      </c>
      <c r="I386" t="s">
        <v>19</v>
      </c>
      <c r="J386" t="s">
        <v>22</v>
      </c>
      <c r="K386" t="s">
        <v>23</v>
      </c>
      <c r="L386">
        <f t="shared" si="15"/>
        <v>2022</v>
      </c>
      <c r="M386" s="13">
        <f t="shared" si="16"/>
        <v>44682</v>
      </c>
      <c r="N386" t="str">
        <f t="shared" si="17"/>
        <v>Online</v>
      </c>
      <c r="O386" t="str">
        <f>IF(Tabla22[[#This Row],[quantity]]&gt;=umbral_grande, "Grande", IF(Tabla22[[#This Row],[quantity]]&gt;=umbral_mediano,"Mediano", "Pequeño"))</f>
        <v>Mediano</v>
      </c>
    </row>
    <row r="387" spans="2:15" x14ac:dyDescent="0.25">
      <c r="B387">
        <v>384</v>
      </c>
      <c r="C387" s="1">
        <v>44856</v>
      </c>
      <c r="D387" t="s">
        <v>17</v>
      </c>
      <c r="E387" t="s">
        <v>18</v>
      </c>
      <c r="F387">
        <v>25</v>
      </c>
      <c r="G387">
        <v>1</v>
      </c>
      <c r="H387">
        <v>25</v>
      </c>
      <c r="I387" t="s">
        <v>19</v>
      </c>
      <c r="J387" t="s">
        <v>12</v>
      </c>
      <c r="K387" t="s">
        <v>16</v>
      </c>
      <c r="L387">
        <f t="shared" si="15"/>
        <v>2022</v>
      </c>
      <c r="M387" s="13">
        <f t="shared" si="16"/>
        <v>44835</v>
      </c>
      <c r="N387" t="str">
        <f t="shared" si="17"/>
        <v>Online</v>
      </c>
      <c r="O387" t="str">
        <f>IF(Tabla22[[#This Row],[quantity]]&gt;=umbral_grande, "Grande", IF(Tabla22[[#This Row],[quantity]]&gt;=umbral_mediano,"Mediano", "Pequeño"))</f>
        <v>Pequeño</v>
      </c>
    </row>
    <row r="388" spans="2:15" x14ac:dyDescent="0.25">
      <c r="B388">
        <v>385</v>
      </c>
      <c r="C388" s="1">
        <v>44676</v>
      </c>
      <c r="D388" t="s">
        <v>14</v>
      </c>
      <c r="E388" t="s">
        <v>11</v>
      </c>
      <c r="F388">
        <v>20</v>
      </c>
      <c r="G388">
        <v>5</v>
      </c>
      <c r="H388">
        <v>100</v>
      </c>
      <c r="I388" t="s">
        <v>15</v>
      </c>
      <c r="J388" t="s">
        <v>12</v>
      </c>
      <c r="K388" t="s">
        <v>23</v>
      </c>
      <c r="L388">
        <f t="shared" si="15"/>
        <v>2022</v>
      </c>
      <c r="M388" s="13">
        <f t="shared" si="16"/>
        <v>44652</v>
      </c>
      <c r="N388" t="str">
        <f t="shared" si="17"/>
        <v>Cash</v>
      </c>
      <c r="O388" t="str">
        <f>IF(Tabla22[[#This Row],[quantity]]&gt;=umbral_grande, "Grande", IF(Tabla22[[#This Row],[quantity]]&gt;=umbral_mediano,"Mediano", "Pequeño"))</f>
        <v>Pequeño</v>
      </c>
    </row>
    <row r="389" spans="2:15" x14ac:dyDescent="0.25">
      <c r="B389">
        <v>386</v>
      </c>
      <c r="C389" s="1">
        <v>44888</v>
      </c>
      <c r="D389" t="s">
        <v>24</v>
      </c>
      <c r="E389" t="s">
        <v>11</v>
      </c>
      <c r="F389">
        <v>50</v>
      </c>
      <c r="G389">
        <v>5</v>
      </c>
      <c r="H389">
        <v>250</v>
      </c>
      <c r="I389" t="s">
        <v>19</v>
      </c>
      <c r="J389" t="s">
        <v>12</v>
      </c>
      <c r="K389" t="s">
        <v>26</v>
      </c>
      <c r="L389">
        <f t="shared" ref="L389:L452" si="18">YEAR(C389)</f>
        <v>2022</v>
      </c>
      <c r="M389" s="13">
        <f t="shared" ref="M389:M452" si="19">DATE(YEAR(C389),MONTH(C389),1)</f>
        <v>44866</v>
      </c>
      <c r="N389" t="str">
        <f t="shared" ref="N389:N452" si="20">IF(I389 = "", "Sin registrar",I389)</f>
        <v>Online</v>
      </c>
      <c r="O389" t="str">
        <f>IF(Tabla22[[#This Row],[quantity]]&gt;=umbral_grande, "Grande", IF(Tabla22[[#This Row],[quantity]]&gt;=umbral_mediano,"Mediano", "Pequeño"))</f>
        <v>Pequeño</v>
      </c>
    </row>
    <row r="390" spans="2:15" x14ac:dyDescent="0.25">
      <c r="B390">
        <v>387</v>
      </c>
      <c r="C390" s="1">
        <v>45002</v>
      </c>
      <c r="D390" t="s">
        <v>17</v>
      </c>
      <c r="E390" t="s">
        <v>18</v>
      </c>
      <c r="F390">
        <v>25</v>
      </c>
      <c r="G390">
        <v>14</v>
      </c>
      <c r="H390">
        <v>350</v>
      </c>
      <c r="I390" t="s">
        <v>15</v>
      </c>
      <c r="J390" t="s">
        <v>22</v>
      </c>
      <c r="K390" t="s">
        <v>26</v>
      </c>
      <c r="L390">
        <f t="shared" si="18"/>
        <v>2023</v>
      </c>
      <c r="M390" s="13">
        <f t="shared" si="19"/>
        <v>44986</v>
      </c>
      <c r="N390" t="str">
        <f t="shared" si="20"/>
        <v>Cash</v>
      </c>
      <c r="O390" t="str">
        <f>IF(Tabla22[[#This Row],[quantity]]&gt;=umbral_grande, "Grande", IF(Tabla22[[#This Row],[quantity]]&gt;=umbral_mediano,"Mediano", "Pequeño"))</f>
        <v>Grande</v>
      </c>
    </row>
    <row r="391" spans="2:15" x14ac:dyDescent="0.25">
      <c r="B391">
        <v>388</v>
      </c>
      <c r="C391" s="1">
        <v>44843</v>
      </c>
      <c r="D391" t="s">
        <v>25</v>
      </c>
      <c r="E391" t="s">
        <v>11</v>
      </c>
      <c r="F391">
        <v>60</v>
      </c>
      <c r="G391">
        <v>14</v>
      </c>
      <c r="H391">
        <v>840</v>
      </c>
      <c r="I391" t="s">
        <v>15</v>
      </c>
      <c r="J391" t="s">
        <v>12</v>
      </c>
      <c r="K391" t="s">
        <v>20</v>
      </c>
      <c r="L391">
        <f t="shared" si="18"/>
        <v>2022</v>
      </c>
      <c r="M391" s="13">
        <f t="shared" si="19"/>
        <v>44835</v>
      </c>
      <c r="N391" t="str">
        <f t="shared" si="20"/>
        <v>Cash</v>
      </c>
      <c r="O391" t="str">
        <f>IF(Tabla22[[#This Row],[quantity]]&gt;=umbral_grande, "Grande", IF(Tabla22[[#This Row],[quantity]]&gt;=umbral_mediano,"Mediano", "Pequeño"))</f>
        <v>Grande</v>
      </c>
    </row>
    <row r="392" spans="2:15" x14ac:dyDescent="0.25">
      <c r="B392">
        <v>389</v>
      </c>
      <c r="C392" s="1">
        <v>44917</v>
      </c>
      <c r="D392" t="s">
        <v>25</v>
      </c>
      <c r="E392" t="s">
        <v>11</v>
      </c>
      <c r="F392">
        <v>60</v>
      </c>
      <c r="G392">
        <v>12</v>
      </c>
      <c r="H392">
        <v>720</v>
      </c>
      <c r="I392" t="s">
        <v>15</v>
      </c>
      <c r="J392" t="s">
        <v>22</v>
      </c>
      <c r="K392" t="s">
        <v>20</v>
      </c>
      <c r="L392">
        <f t="shared" si="18"/>
        <v>2022</v>
      </c>
      <c r="M392" s="13">
        <f t="shared" si="19"/>
        <v>44896</v>
      </c>
      <c r="N392" t="str">
        <f t="shared" si="20"/>
        <v>Cash</v>
      </c>
      <c r="O392" t="str">
        <f>IF(Tabla22[[#This Row],[quantity]]&gt;=umbral_grande, "Grande", IF(Tabla22[[#This Row],[quantity]]&gt;=umbral_mediano,"Mediano", "Pequeño"))</f>
        <v>Grande</v>
      </c>
    </row>
    <row r="393" spans="2:15" x14ac:dyDescent="0.25">
      <c r="B393">
        <v>390</v>
      </c>
      <c r="C393" s="1">
        <v>44730</v>
      </c>
      <c r="D393" t="s">
        <v>17</v>
      </c>
      <c r="E393" t="s">
        <v>18</v>
      </c>
      <c r="F393">
        <v>25</v>
      </c>
      <c r="G393">
        <v>5</v>
      </c>
      <c r="H393">
        <v>125</v>
      </c>
      <c r="J393" t="s">
        <v>12</v>
      </c>
      <c r="K393" t="s">
        <v>26</v>
      </c>
      <c r="L393">
        <f t="shared" si="18"/>
        <v>2022</v>
      </c>
      <c r="M393" s="13">
        <f t="shared" si="19"/>
        <v>44713</v>
      </c>
      <c r="N393" t="str">
        <f t="shared" si="20"/>
        <v>Sin registrar</v>
      </c>
      <c r="O393" t="str">
        <f>IF(Tabla22[[#This Row],[quantity]]&gt;=umbral_grande, "Grande", IF(Tabla22[[#This Row],[quantity]]&gt;=umbral_mediano,"Mediano", "Pequeño"))</f>
        <v>Pequeño</v>
      </c>
    </row>
    <row r="394" spans="2:15" x14ac:dyDescent="0.25">
      <c r="B394">
        <v>391</v>
      </c>
      <c r="C394" s="1">
        <v>44672</v>
      </c>
      <c r="D394" t="s">
        <v>10</v>
      </c>
      <c r="E394" t="s">
        <v>11</v>
      </c>
      <c r="F394">
        <v>20</v>
      </c>
      <c r="G394">
        <v>1</v>
      </c>
      <c r="H394">
        <v>20</v>
      </c>
      <c r="I394" t="s">
        <v>19</v>
      </c>
      <c r="J394" t="s">
        <v>22</v>
      </c>
      <c r="K394" t="s">
        <v>13</v>
      </c>
      <c r="L394">
        <f t="shared" si="18"/>
        <v>2022</v>
      </c>
      <c r="M394" s="13">
        <f t="shared" si="19"/>
        <v>44652</v>
      </c>
      <c r="N394" t="str">
        <f t="shared" si="20"/>
        <v>Online</v>
      </c>
      <c r="O394" t="str">
        <f>IF(Tabla22[[#This Row],[quantity]]&gt;=umbral_grande, "Grande", IF(Tabla22[[#This Row],[quantity]]&gt;=umbral_mediano,"Mediano", "Pequeño"))</f>
        <v>Pequeño</v>
      </c>
    </row>
    <row r="395" spans="2:15" x14ac:dyDescent="0.25">
      <c r="B395">
        <v>392</v>
      </c>
      <c r="C395" s="1">
        <v>44822</v>
      </c>
      <c r="D395" t="s">
        <v>10</v>
      </c>
      <c r="E395" t="s">
        <v>11</v>
      </c>
      <c r="F395">
        <v>20</v>
      </c>
      <c r="G395">
        <v>15</v>
      </c>
      <c r="H395">
        <v>300</v>
      </c>
      <c r="I395" t="s">
        <v>19</v>
      </c>
      <c r="J395" t="s">
        <v>12</v>
      </c>
      <c r="K395" t="s">
        <v>13</v>
      </c>
      <c r="L395">
        <f t="shared" si="18"/>
        <v>2022</v>
      </c>
      <c r="M395" s="13">
        <f t="shared" si="19"/>
        <v>44805</v>
      </c>
      <c r="N395" t="str">
        <f t="shared" si="20"/>
        <v>Online</v>
      </c>
      <c r="O395" t="str">
        <f>IF(Tabla22[[#This Row],[quantity]]&gt;=umbral_grande, "Grande", IF(Tabla22[[#This Row],[quantity]]&gt;=umbral_mediano,"Mediano", "Pequeño"))</f>
        <v>Grande</v>
      </c>
    </row>
    <row r="396" spans="2:15" x14ac:dyDescent="0.25">
      <c r="B396">
        <v>393</v>
      </c>
      <c r="C396" s="1">
        <v>44744</v>
      </c>
      <c r="D396" t="s">
        <v>17</v>
      </c>
      <c r="E396" t="s">
        <v>18</v>
      </c>
      <c r="F396">
        <v>25</v>
      </c>
      <c r="G396">
        <v>10</v>
      </c>
      <c r="H396">
        <v>250</v>
      </c>
      <c r="I396" t="s">
        <v>19</v>
      </c>
      <c r="J396" t="s">
        <v>22</v>
      </c>
      <c r="K396" t="s">
        <v>20</v>
      </c>
      <c r="L396">
        <f t="shared" si="18"/>
        <v>2022</v>
      </c>
      <c r="M396" s="13">
        <f t="shared" si="19"/>
        <v>44743</v>
      </c>
      <c r="N396" t="str">
        <f t="shared" si="20"/>
        <v>Online</v>
      </c>
      <c r="O396" t="str">
        <f>IF(Tabla22[[#This Row],[quantity]]&gt;=umbral_grande, "Grande", IF(Tabla22[[#This Row],[quantity]]&gt;=umbral_mediano,"Mediano", "Pequeño"))</f>
        <v>Mediano</v>
      </c>
    </row>
    <row r="397" spans="2:15" x14ac:dyDescent="0.25">
      <c r="B397">
        <v>394</v>
      </c>
      <c r="C397" s="1">
        <v>44654</v>
      </c>
      <c r="D397" t="s">
        <v>25</v>
      </c>
      <c r="E397" t="s">
        <v>11</v>
      </c>
      <c r="F397">
        <v>60</v>
      </c>
      <c r="G397">
        <v>1</v>
      </c>
      <c r="H397">
        <v>60</v>
      </c>
      <c r="I397" t="s">
        <v>15</v>
      </c>
      <c r="J397" t="s">
        <v>22</v>
      </c>
      <c r="K397" t="s">
        <v>23</v>
      </c>
      <c r="L397">
        <f t="shared" si="18"/>
        <v>2022</v>
      </c>
      <c r="M397" s="13">
        <f t="shared" si="19"/>
        <v>44652</v>
      </c>
      <c r="N397" t="str">
        <f t="shared" si="20"/>
        <v>Cash</v>
      </c>
      <c r="O397" t="str">
        <f>IF(Tabla22[[#This Row],[quantity]]&gt;=umbral_grande, "Grande", IF(Tabla22[[#This Row],[quantity]]&gt;=umbral_mediano,"Mediano", "Pequeño"))</f>
        <v>Pequeño</v>
      </c>
    </row>
    <row r="398" spans="2:15" x14ac:dyDescent="0.25">
      <c r="B398">
        <v>395</v>
      </c>
      <c r="C398" s="1">
        <v>44957</v>
      </c>
      <c r="D398" t="s">
        <v>25</v>
      </c>
      <c r="E398" t="s">
        <v>11</v>
      </c>
      <c r="F398">
        <v>60</v>
      </c>
      <c r="G398">
        <v>3</v>
      </c>
      <c r="H398">
        <v>180</v>
      </c>
      <c r="I398" t="s">
        <v>15</v>
      </c>
      <c r="J398" t="s">
        <v>22</v>
      </c>
      <c r="K398" t="s">
        <v>20</v>
      </c>
      <c r="L398">
        <f t="shared" si="18"/>
        <v>2023</v>
      </c>
      <c r="M398" s="13">
        <f t="shared" si="19"/>
        <v>44927</v>
      </c>
      <c r="N398" t="str">
        <f t="shared" si="20"/>
        <v>Cash</v>
      </c>
      <c r="O398" t="str">
        <f>IF(Tabla22[[#This Row],[quantity]]&gt;=umbral_grande, "Grande", IF(Tabla22[[#This Row],[quantity]]&gt;=umbral_mediano,"Mediano", "Pequeño"))</f>
        <v>Pequeño</v>
      </c>
    </row>
    <row r="399" spans="2:15" x14ac:dyDescent="0.25">
      <c r="B399">
        <v>396</v>
      </c>
      <c r="C399" s="1">
        <v>44865</v>
      </c>
      <c r="D399" t="s">
        <v>24</v>
      </c>
      <c r="E399" t="s">
        <v>11</v>
      </c>
      <c r="F399">
        <v>50</v>
      </c>
      <c r="G399">
        <v>15</v>
      </c>
      <c r="H399">
        <v>750</v>
      </c>
      <c r="I399" t="s">
        <v>19</v>
      </c>
      <c r="J399" t="s">
        <v>12</v>
      </c>
      <c r="K399" t="s">
        <v>23</v>
      </c>
      <c r="L399">
        <f t="shared" si="18"/>
        <v>2022</v>
      </c>
      <c r="M399" s="13">
        <f t="shared" si="19"/>
        <v>44835</v>
      </c>
      <c r="N399" t="str">
        <f t="shared" si="20"/>
        <v>Online</v>
      </c>
      <c r="O399" t="str">
        <f>IF(Tabla22[[#This Row],[quantity]]&gt;=umbral_grande, "Grande", IF(Tabla22[[#This Row],[quantity]]&gt;=umbral_mediano,"Mediano", "Pequeño"))</f>
        <v>Grande</v>
      </c>
    </row>
    <row r="400" spans="2:15" x14ac:dyDescent="0.25">
      <c r="B400">
        <v>397</v>
      </c>
      <c r="C400" s="1">
        <v>44748</v>
      </c>
      <c r="D400" t="s">
        <v>10</v>
      </c>
      <c r="E400" t="s">
        <v>11</v>
      </c>
      <c r="F400">
        <v>20</v>
      </c>
      <c r="G400">
        <v>2</v>
      </c>
      <c r="H400">
        <v>40</v>
      </c>
      <c r="I400" t="s">
        <v>19</v>
      </c>
      <c r="J400" t="s">
        <v>22</v>
      </c>
      <c r="K400" t="s">
        <v>16</v>
      </c>
      <c r="L400">
        <f t="shared" si="18"/>
        <v>2022</v>
      </c>
      <c r="M400" s="13">
        <f t="shared" si="19"/>
        <v>44743</v>
      </c>
      <c r="N400" t="str">
        <f t="shared" si="20"/>
        <v>Online</v>
      </c>
      <c r="O400" t="str">
        <f>IF(Tabla22[[#This Row],[quantity]]&gt;=umbral_grande, "Grande", IF(Tabla22[[#This Row],[quantity]]&gt;=umbral_mediano,"Mediano", "Pequeño"))</f>
        <v>Pequeño</v>
      </c>
    </row>
    <row r="401" spans="2:15" x14ac:dyDescent="0.25">
      <c r="B401">
        <v>398</v>
      </c>
      <c r="C401" s="1">
        <v>44939</v>
      </c>
      <c r="D401" t="s">
        <v>21</v>
      </c>
      <c r="E401" t="s">
        <v>11</v>
      </c>
      <c r="F401">
        <v>20</v>
      </c>
      <c r="G401">
        <v>6</v>
      </c>
      <c r="H401">
        <v>120</v>
      </c>
      <c r="I401" t="s">
        <v>19</v>
      </c>
      <c r="J401" t="s">
        <v>12</v>
      </c>
      <c r="K401" t="s">
        <v>20</v>
      </c>
      <c r="L401">
        <f t="shared" si="18"/>
        <v>2023</v>
      </c>
      <c r="M401" s="13">
        <f t="shared" si="19"/>
        <v>44927</v>
      </c>
      <c r="N401" t="str">
        <f t="shared" si="20"/>
        <v>Online</v>
      </c>
      <c r="O401" t="str">
        <f>IF(Tabla22[[#This Row],[quantity]]&gt;=umbral_grande, "Grande", IF(Tabla22[[#This Row],[quantity]]&gt;=umbral_mediano,"Mediano", "Pequeño"))</f>
        <v>Mediano</v>
      </c>
    </row>
    <row r="402" spans="2:15" x14ac:dyDescent="0.25">
      <c r="B402">
        <v>399</v>
      </c>
      <c r="C402" s="1">
        <v>44736</v>
      </c>
      <c r="D402" t="s">
        <v>21</v>
      </c>
      <c r="E402" t="s">
        <v>11</v>
      </c>
      <c r="F402">
        <v>20</v>
      </c>
      <c r="G402">
        <v>9</v>
      </c>
      <c r="H402">
        <v>180</v>
      </c>
      <c r="I402" t="s">
        <v>15</v>
      </c>
      <c r="J402" t="s">
        <v>22</v>
      </c>
      <c r="K402" t="s">
        <v>20</v>
      </c>
      <c r="L402">
        <f t="shared" si="18"/>
        <v>2022</v>
      </c>
      <c r="M402" s="13">
        <f t="shared" si="19"/>
        <v>44713</v>
      </c>
      <c r="N402" t="str">
        <f t="shared" si="20"/>
        <v>Cash</v>
      </c>
      <c r="O402" t="str">
        <f>IF(Tabla22[[#This Row],[quantity]]&gt;=umbral_grande, "Grande", IF(Tabla22[[#This Row],[quantity]]&gt;=umbral_mediano,"Mediano", "Pequeño"))</f>
        <v>Mediano</v>
      </c>
    </row>
    <row r="403" spans="2:15" x14ac:dyDescent="0.25">
      <c r="B403">
        <v>400</v>
      </c>
      <c r="C403" s="1">
        <v>44989</v>
      </c>
      <c r="D403" t="s">
        <v>27</v>
      </c>
      <c r="E403" t="s">
        <v>18</v>
      </c>
      <c r="F403">
        <v>40</v>
      </c>
      <c r="G403">
        <v>15</v>
      </c>
      <c r="H403">
        <v>600</v>
      </c>
      <c r="I403" t="s">
        <v>15</v>
      </c>
      <c r="J403" t="s">
        <v>22</v>
      </c>
      <c r="K403" t="s">
        <v>23</v>
      </c>
      <c r="L403">
        <f t="shared" si="18"/>
        <v>2023</v>
      </c>
      <c r="M403" s="13">
        <f t="shared" si="19"/>
        <v>44986</v>
      </c>
      <c r="N403" t="str">
        <f t="shared" si="20"/>
        <v>Cash</v>
      </c>
      <c r="O403" t="str">
        <f>IF(Tabla22[[#This Row],[quantity]]&gt;=umbral_grande, "Grande", IF(Tabla22[[#This Row],[quantity]]&gt;=umbral_mediano,"Mediano", "Pequeño"))</f>
        <v>Grande</v>
      </c>
    </row>
    <row r="404" spans="2:15" x14ac:dyDescent="0.25">
      <c r="B404">
        <v>401</v>
      </c>
      <c r="C404" s="1">
        <v>44845</v>
      </c>
      <c r="D404" t="s">
        <v>17</v>
      </c>
      <c r="E404" t="s">
        <v>18</v>
      </c>
      <c r="F404">
        <v>25</v>
      </c>
      <c r="G404">
        <v>8</v>
      </c>
      <c r="H404">
        <v>200</v>
      </c>
      <c r="I404" t="s">
        <v>19</v>
      </c>
      <c r="J404" t="s">
        <v>22</v>
      </c>
      <c r="K404" t="s">
        <v>26</v>
      </c>
      <c r="L404">
        <f t="shared" si="18"/>
        <v>2022</v>
      </c>
      <c r="M404" s="13">
        <f t="shared" si="19"/>
        <v>44835</v>
      </c>
      <c r="N404" t="str">
        <f t="shared" si="20"/>
        <v>Online</v>
      </c>
      <c r="O404" t="str">
        <f>IF(Tabla22[[#This Row],[quantity]]&gt;=umbral_grande, "Grande", IF(Tabla22[[#This Row],[quantity]]&gt;=umbral_mediano,"Mediano", "Pequeño"))</f>
        <v>Mediano</v>
      </c>
    </row>
    <row r="405" spans="2:15" x14ac:dyDescent="0.25">
      <c r="B405">
        <v>402</v>
      </c>
      <c r="C405" s="1">
        <v>45004</v>
      </c>
      <c r="D405" t="s">
        <v>24</v>
      </c>
      <c r="E405" t="s">
        <v>11</v>
      </c>
      <c r="F405">
        <v>50</v>
      </c>
      <c r="G405">
        <v>7</v>
      </c>
      <c r="H405">
        <v>350</v>
      </c>
      <c r="I405" t="s">
        <v>15</v>
      </c>
      <c r="J405" t="s">
        <v>12</v>
      </c>
      <c r="K405" t="s">
        <v>13</v>
      </c>
      <c r="L405">
        <f t="shared" si="18"/>
        <v>2023</v>
      </c>
      <c r="M405" s="13">
        <f t="shared" si="19"/>
        <v>44986</v>
      </c>
      <c r="N405" t="str">
        <f t="shared" si="20"/>
        <v>Cash</v>
      </c>
      <c r="O405" t="str">
        <f>IF(Tabla22[[#This Row],[quantity]]&gt;=umbral_grande, "Grande", IF(Tabla22[[#This Row],[quantity]]&gt;=umbral_mediano,"Mediano", "Pequeño"))</f>
        <v>Mediano</v>
      </c>
    </row>
    <row r="406" spans="2:15" x14ac:dyDescent="0.25">
      <c r="B406">
        <v>403</v>
      </c>
      <c r="C406" s="1">
        <v>44829</v>
      </c>
      <c r="D406" t="s">
        <v>27</v>
      </c>
      <c r="E406" t="s">
        <v>18</v>
      </c>
      <c r="F406">
        <v>40</v>
      </c>
      <c r="G406">
        <v>3</v>
      </c>
      <c r="H406">
        <v>120</v>
      </c>
      <c r="I406" t="s">
        <v>19</v>
      </c>
      <c r="J406" t="s">
        <v>22</v>
      </c>
      <c r="K406" t="s">
        <v>26</v>
      </c>
      <c r="L406">
        <f t="shared" si="18"/>
        <v>2022</v>
      </c>
      <c r="M406" s="13">
        <f t="shared" si="19"/>
        <v>44805</v>
      </c>
      <c r="N406" t="str">
        <f t="shared" si="20"/>
        <v>Online</v>
      </c>
      <c r="O406" t="str">
        <f>IF(Tabla22[[#This Row],[quantity]]&gt;=umbral_grande, "Grande", IF(Tabla22[[#This Row],[quantity]]&gt;=umbral_mediano,"Mediano", "Pequeño"))</f>
        <v>Pequeño</v>
      </c>
    </row>
    <row r="407" spans="2:15" x14ac:dyDescent="0.25">
      <c r="B407">
        <v>404</v>
      </c>
      <c r="C407" s="1">
        <v>44891</v>
      </c>
      <c r="D407" t="s">
        <v>24</v>
      </c>
      <c r="E407" t="s">
        <v>11</v>
      </c>
      <c r="F407">
        <v>50</v>
      </c>
      <c r="G407">
        <v>7</v>
      </c>
      <c r="H407">
        <v>350</v>
      </c>
      <c r="I407" t="s">
        <v>15</v>
      </c>
      <c r="J407" t="s">
        <v>22</v>
      </c>
      <c r="K407" t="s">
        <v>26</v>
      </c>
      <c r="L407">
        <f t="shared" si="18"/>
        <v>2022</v>
      </c>
      <c r="M407" s="13">
        <f t="shared" si="19"/>
        <v>44866</v>
      </c>
      <c r="N407" t="str">
        <f t="shared" si="20"/>
        <v>Cash</v>
      </c>
      <c r="O407" t="str">
        <f>IF(Tabla22[[#This Row],[quantity]]&gt;=umbral_grande, "Grande", IF(Tabla22[[#This Row],[quantity]]&gt;=umbral_mediano,"Mediano", "Pequeño"))</f>
        <v>Mediano</v>
      </c>
    </row>
    <row r="408" spans="2:15" x14ac:dyDescent="0.25">
      <c r="B408">
        <v>405</v>
      </c>
      <c r="C408" s="1">
        <v>44908</v>
      </c>
      <c r="D408" t="s">
        <v>17</v>
      </c>
      <c r="E408" t="s">
        <v>18</v>
      </c>
      <c r="F408">
        <v>25</v>
      </c>
      <c r="G408">
        <v>10</v>
      </c>
      <c r="H408">
        <v>250</v>
      </c>
      <c r="I408" t="s">
        <v>15</v>
      </c>
      <c r="J408" t="s">
        <v>12</v>
      </c>
      <c r="K408" t="s">
        <v>13</v>
      </c>
      <c r="L408">
        <f t="shared" si="18"/>
        <v>2022</v>
      </c>
      <c r="M408" s="13">
        <f t="shared" si="19"/>
        <v>44896</v>
      </c>
      <c r="N408" t="str">
        <f t="shared" si="20"/>
        <v>Cash</v>
      </c>
      <c r="O408" t="str">
        <f>IF(Tabla22[[#This Row],[quantity]]&gt;=umbral_grande, "Grande", IF(Tabla22[[#This Row],[quantity]]&gt;=umbral_mediano,"Mediano", "Pequeño"))</f>
        <v>Mediano</v>
      </c>
    </row>
    <row r="409" spans="2:15" x14ac:dyDescent="0.25">
      <c r="B409">
        <v>406</v>
      </c>
      <c r="C409" s="1">
        <v>44847</v>
      </c>
      <c r="D409" t="s">
        <v>27</v>
      </c>
      <c r="E409" t="s">
        <v>18</v>
      </c>
      <c r="F409">
        <v>40</v>
      </c>
      <c r="G409">
        <v>4</v>
      </c>
      <c r="H409">
        <v>160</v>
      </c>
      <c r="I409" t="s">
        <v>19</v>
      </c>
      <c r="J409" t="s">
        <v>22</v>
      </c>
      <c r="K409" t="s">
        <v>16</v>
      </c>
      <c r="L409">
        <f t="shared" si="18"/>
        <v>2022</v>
      </c>
      <c r="M409" s="13">
        <f t="shared" si="19"/>
        <v>44835</v>
      </c>
      <c r="N409" t="str">
        <f t="shared" si="20"/>
        <v>Online</v>
      </c>
      <c r="O409" t="str">
        <f>IF(Tabla22[[#This Row],[quantity]]&gt;=umbral_grande, "Grande", IF(Tabla22[[#This Row],[quantity]]&gt;=umbral_mediano,"Mediano", "Pequeño"))</f>
        <v>Pequeño</v>
      </c>
    </row>
    <row r="410" spans="2:15" x14ac:dyDescent="0.25">
      <c r="B410">
        <v>407</v>
      </c>
      <c r="C410" s="1">
        <v>44928</v>
      </c>
      <c r="D410" t="s">
        <v>17</v>
      </c>
      <c r="E410" t="s">
        <v>18</v>
      </c>
      <c r="F410">
        <v>25</v>
      </c>
      <c r="G410">
        <v>2</v>
      </c>
      <c r="H410">
        <v>50</v>
      </c>
      <c r="I410" t="s">
        <v>15</v>
      </c>
      <c r="J410" t="s">
        <v>12</v>
      </c>
      <c r="K410" t="s">
        <v>20</v>
      </c>
      <c r="L410">
        <f t="shared" si="18"/>
        <v>2023</v>
      </c>
      <c r="M410" s="13">
        <f t="shared" si="19"/>
        <v>44927</v>
      </c>
      <c r="N410" t="str">
        <f t="shared" si="20"/>
        <v>Cash</v>
      </c>
      <c r="O410" t="str">
        <f>IF(Tabla22[[#This Row],[quantity]]&gt;=umbral_grande, "Grande", IF(Tabla22[[#This Row],[quantity]]&gt;=umbral_mediano,"Mediano", "Pequeño"))</f>
        <v>Pequeño</v>
      </c>
    </row>
    <row r="411" spans="2:15" x14ac:dyDescent="0.25">
      <c r="B411">
        <v>408</v>
      </c>
      <c r="C411" s="1">
        <v>44839</v>
      </c>
      <c r="D411" t="s">
        <v>14</v>
      </c>
      <c r="E411" t="s">
        <v>11</v>
      </c>
      <c r="F411">
        <v>20</v>
      </c>
      <c r="G411">
        <v>4</v>
      </c>
      <c r="H411">
        <v>80</v>
      </c>
      <c r="I411" t="s">
        <v>19</v>
      </c>
      <c r="J411" t="s">
        <v>12</v>
      </c>
      <c r="K411" t="s">
        <v>26</v>
      </c>
      <c r="L411">
        <f t="shared" si="18"/>
        <v>2022</v>
      </c>
      <c r="M411" s="13">
        <f t="shared" si="19"/>
        <v>44835</v>
      </c>
      <c r="N411" t="str">
        <f t="shared" si="20"/>
        <v>Online</v>
      </c>
      <c r="O411" t="str">
        <f>IF(Tabla22[[#This Row],[quantity]]&gt;=umbral_grande, "Grande", IF(Tabla22[[#This Row],[quantity]]&gt;=umbral_mediano,"Mediano", "Pequeño"))</f>
        <v>Pequeño</v>
      </c>
    </row>
    <row r="412" spans="2:15" x14ac:dyDescent="0.25">
      <c r="B412">
        <v>409</v>
      </c>
      <c r="C412" s="1">
        <v>44819</v>
      </c>
      <c r="D412" t="s">
        <v>10</v>
      </c>
      <c r="E412" t="s">
        <v>11</v>
      </c>
      <c r="F412">
        <v>20</v>
      </c>
      <c r="G412">
        <v>9</v>
      </c>
      <c r="H412">
        <v>180</v>
      </c>
      <c r="I412" t="s">
        <v>15</v>
      </c>
      <c r="J412" t="s">
        <v>22</v>
      </c>
      <c r="K412" t="s">
        <v>23</v>
      </c>
      <c r="L412">
        <f t="shared" si="18"/>
        <v>2022</v>
      </c>
      <c r="M412" s="13">
        <f t="shared" si="19"/>
        <v>44805</v>
      </c>
      <c r="N412" t="str">
        <f t="shared" si="20"/>
        <v>Cash</v>
      </c>
      <c r="O412" t="str">
        <f>IF(Tabla22[[#This Row],[quantity]]&gt;=umbral_grande, "Grande", IF(Tabla22[[#This Row],[quantity]]&gt;=umbral_mediano,"Mediano", "Pequeño"))</f>
        <v>Mediano</v>
      </c>
    </row>
    <row r="413" spans="2:15" x14ac:dyDescent="0.25">
      <c r="B413">
        <v>410</v>
      </c>
      <c r="C413" s="1">
        <v>44888</v>
      </c>
      <c r="D413" t="s">
        <v>10</v>
      </c>
      <c r="E413" t="s">
        <v>11</v>
      </c>
      <c r="F413">
        <v>20</v>
      </c>
      <c r="G413">
        <v>15</v>
      </c>
      <c r="H413">
        <v>300</v>
      </c>
      <c r="I413" t="s">
        <v>19</v>
      </c>
      <c r="J413" t="s">
        <v>12</v>
      </c>
      <c r="K413" t="s">
        <v>16</v>
      </c>
      <c r="L413">
        <f t="shared" si="18"/>
        <v>2022</v>
      </c>
      <c r="M413" s="13">
        <f t="shared" si="19"/>
        <v>44866</v>
      </c>
      <c r="N413" t="str">
        <f t="shared" si="20"/>
        <v>Online</v>
      </c>
      <c r="O413" t="str">
        <f>IF(Tabla22[[#This Row],[quantity]]&gt;=umbral_grande, "Grande", IF(Tabla22[[#This Row],[quantity]]&gt;=umbral_mediano,"Mediano", "Pequeño"))</f>
        <v>Grande</v>
      </c>
    </row>
    <row r="414" spans="2:15" x14ac:dyDescent="0.25">
      <c r="B414">
        <v>411</v>
      </c>
      <c r="C414" s="1">
        <v>44885</v>
      </c>
      <c r="D414" t="s">
        <v>21</v>
      </c>
      <c r="E414" t="s">
        <v>11</v>
      </c>
      <c r="F414">
        <v>20</v>
      </c>
      <c r="G414">
        <v>12</v>
      </c>
      <c r="H414">
        <v>240</v>
      </c>
      <c r="I414" t="s">
        <v>15</v>
      </c>
      <c r="J414" t="s">
        <v>12</v>
      </c>
      <c r="K414" t="s">
        <v>16</v>
      </c>
      <c r="L414">
        <f t="shared" si="18"/>
        <v>2022</v>
      </c>
      <c r="M414" s="13">
        <f t="shared" si="19"/>
        <v>44866</v>
      </c>
      <c r="N414" t="str">
        <f t="shared" si="20"/>
        <v>Cash</v>
      </c>
      <c r="O414" t="str">
        <f>IF(Tabla22[[#This Row],[quantity]]&gt;=umbral_grande, "Grande", IF(Tabla22[[#This Row],[quantity]]&gt;=umbral_mediano,"Mediano", "Pequeño"))</f>
        <v>Grande</v>
      </c>
    </row>
    <row r="415" spans="2:15" x14ac:dyDescent="0.25">
      <c r="B415">
        <v>412</v>
      </c>
      <c r="C415" s="1">
        <v>44994</v>
      </c>
      <c r="D415" t="s">
        <v>17</v>
      </c>
      <c r="E415" t="s">
        <v>18</v>
      </c>
      <c r="F415">
        <v>25</v>
      </c>
      <c r="G415">
        <v>14</v>
      </c>
      <c r="H415">
        <v>350</v>
      </c>
      <c r="J415" t="s">
        <v>12</v>
      </c>
      <c r="K415" t="s">
        <v>16</v>
      </c>
      <c r="L415">
        <f t="shared" si="18"/>
        <v>2023</v>
      </c>
      <c r="M415" s="13">
        <f t="shared" si="19"/>
        <v>44986</v>
      </c>
      <c r="N415" t="str">
        <f t="shared" si="20"/>
        <v>Sin registrar</v>
      </c>
      <c r="O415" t="str">
        <f>IF(Tabla22[[#This Row],[quantity]]&gt;=umbral_grande, "Grande", IF(Tabla22[[#This Row],[quantity]]&gt;=umbral_mediano,"Mediano", "Pequeño"))</f>
        <v>Grande</v>
      </c>
    </row>
    <row r="416" spans="2:15" x14ac:dyDescent="0.25">
      <c r="B416">
        <v>413</v>
      </c>
      <c r="C416" s="1">
        <v>44654</v>
      </c>
      <c r="D416" t="s">
        <v>10</v>
      </c>
      <c r="E416" t="s">
        <v>11</v>
      </c>
      <c r="F416">
        <v>20</v>
      </c>
      <c r="G416">
        <v>10</v>
      </c>
      <c r="H416">
        <v>200</v>
      </c>
      <c r="I416" t="s">
        <v>19</v>
      </c>
      <c r="J416" t="s">
        <v>22</v>
      </c>
      <c r="K416" t="s">
        <v>26</v>
      </c>
      <c r="L416">
        <f t="shared" si="18"/>
        <v>2022</v>
      </c>
      <c r="M416" s="13">
        <f t="shared" si="19"/>
        <v>44652</v>
      </c>
      <c r="N416" t="str">
        <f t="shared" si="20"/>
        <v>Online</v>
      </c>
      <c r="O416" t="str">
        <f>IF(Tabla22[[#This Row],[quantity]]&gt;=umbral_grande, "Grande", IF(Tabla22[[#This Row],[quantity]]&gt;=umbral_mediano,"Mediano", "Pequeño"))</f>
        <v>Mediano</v>
      </c>
    </row>
    <row r="417" spans="2:15" x14ac:dyDescent="0.25">
      <c r="B417">
        <v>414</v>
      </c>
      <c r="C417" s="1">
        <v>44947</v>
      </c>
      <c r="D417" t="s">
        <v>27</v>
      </c>
      <c r="E417" t="s">
        <v>18</v>
      </c>
      <c r="F417">
        <v>40</v>
      </c>
      <c r="G417">
        <v>13</v>
      </c>
      <c r="H417">
        <v>520</v>
      </c>
      <c r="J417" t="s">
        <v>12</v>
      </c>
      <c r="K417" t="s">
        <v>13</v>
      </c>
      <c r="L417">
        <f t="shared" si="18"/>
        <v>2023</v>
      </c>
      <c r="M417" s="13">
        <f t="shared" si="19"/>
        <v>44927</v>
      </c>
      <c r="N417" t="str">
        <f t="shared" si="20"/>
        <v>Sin registrar</v>
      </c>
      <c r="O417" t="str">
        <f>IF(Tabla22[[#This Row],[quantity]]&gt;=umbral_grande, "Grande", IF(Tabla22[[#This Row],[quantity]]&gt;=umbral_mediano,"Mediano", "Pequeño"))</f>
        <v>Grande</v>
      </c>
    </row>
    <row r="418" spans="2:15" x14ac:dyDescent="0.25">
      <c r="B418">
        <v>415</v>
      </c>
      <c r="C418" s="1">
        <v>44900</v>
      </c>
      <c r="D418" t="s">
        <v>14</v>
      </c>
      <c r="E418" t="s">
        <v>11</v>
      </c>
      <c r="F418">
        <v>20</v>
      </c>
      <c r="G418">
        <v>8</v>
      </c>
      <c r="H418">
        <v>160</v>
      </c>
      <c r="I418" t="s">
        <v>19</v>
      </c>
      <c r="J418" t="s">
        <v>12</v>
      </c>
      <c r="K418" t="s">
        <v>20</v>
      </c>
      <c r="L418">
        <f t="shared" si="18"/>
        <v>2022</v>
      </c>
      <c r="M418" s="13">
        <f t="shared" si="19"/>
        <v>44896</v>
      </c>
      <c r="N418" t="str">
        <f t="shared" si="20"/>
        <v>Online</v>
      </c>
      <c r="O418" t="str">
        <f>IF(Tabla22[[#This Row],[quantity]]&gt;=umbral_grande, "Grande", IF(Tabla22[[#This Row],[quantity]]&gt;=umbral_mediano,"Mediano", "Pequeño"))</f>
        <v>Mediano</v>
      </c>
    </row>
    <row r="419" spans="2:15" x14ac:dyDescent="0.25">
      <c r="B419">
        <v>416</v>
      </c>
      <c r="C419" s="1">
        <v>44778</v>
      </c>
      <c r="D419" t="s">
        <v>25</v>
      </c>
      <c r="E419" t="s">
        <v>11</v>
      </c>
      <c r="F419">
        <v>60</v>
      </c>
      <c r="G419">
        <v>9</v>
      </c>
      <c r="H419">
        <v>540</v>
      </c>
      <c r="J419" t="s">
        <v>12</v>
      </c>
      <c r="K419" t="s">
        <v>23</v>
      </c>
      <c r="L419">
        <f t="shared" si="18"/>
        <v>2022</v>
      </c>
      <c r="M419" s="13">
        <f t="shared" si="19"/>
        <v>44774</v>
      </c>
      <c r="N419" t="str">
        <f t="shared" si="20"/>
        <v>Sin registrar</v>
      </c>
      <c r="O419" t="str">
        <f>IF(Tabla22[[#This Row],[quantity]]&gt;=umbral_grande, "Grande", IF(Tabla22[[#This Row],[quantity]]&gt;=umbral_mediano,"Mediano", "Pequeño"))</f>
        <v>Mediano</v>
      </c>
    </row>
    <row r="420" spans="2:15" x14ac:dyDescent="0.25">
      <c r="B420">
        <v>417</v>
      </c>
      <c r="C420" s="1">
        <v>44942</v>
      </c>
      <c r="D420" t="s">
        <v>21</v>
      </c>
      <c r="E420" t="s">
        <v>11</v>
      </c>
      <c r="F420">
        <v>20</v>
      </c>
      <c r="G420">
        <v>3</v>
      </c>
      <c r="H420">
        <v>60</v>
      </c>
      <c r="I420" t="s">
        <v>15</v>
      </c>
      <c r="J420" t="s">
        <v>12</v>
      </c>
      <c r="K420" t="s">
        <v>20</v>
      </c>
      <c r="L420">
        <f t="shared" si="18"/>
        <v>2023</v>
      </c>
      <c r="M420" s="13">
        <f t="shared" si="19"/>
        <v>44927</v>
      </c>
      <c r="N420" t="str">
        <f t="shared" si="20"/>
        <v>Cash</v>
      </c>
      <c r="O420" t="str">
        <f>IF(Tabla22[[#This Row],[quantity]]&gt;=umbral_grande, "Grande", IF(Tabla22[[#This Row],[quantity]]&gt;=umbral_mediano,"Mediano", "Pequeño"))</f>
        <v>Pequeño</v>
      </c>
    </row>
    <row r="421" spans="2:15" x14ac:dyDescent="0.25">
      <c r="B421">
        <v>418</v>
      </c>
      <c r="C421" s="1">
        <v>44877</v>
      </c>
      <c r="D421" t="s">
        <v>27</v>
      </c>
      <c r="E421" t="s">
        <v>18</v>
      </c>
      <c r="F421">
        <v>40</v>
      </c>
      <c r="G421">
        <v>7</v>
      </c>
      <c r="H421">
        <v>280</v>
      </c>
      <c r="I421" t="s">
        <v>19</v>
      </c>
      <c r="J421" t="s">
        <v>12</v>
      </c>
      <c r="K421" t="s">
        <v>13</v>
      </c>
      <c r="L421">
        <f t="shared" si="18"/>
        <v>2022</v>
      </c>
      <c r="M421" s="13">
        <f t="shared" si="19"/>
        <v>44866</v>
      </c>
      <c r="N421" t="str">
        <f t="shared" si="20"/>
        <v>Online</v>
      </c>
      <c r="O421" t="str">
        <f>IF(Tabla22[[#This Row],[quantity]]&gt;=umbral_grande, "Grande", IF(Tabla22[[#This Row],[quantity]]&gt;=umbral_mediano,"Mediano", "Pequeño"))</f>
        <v>Mediano</v>
      </c>
    </row>
    <row r="422" spans="2:15" x14ac:dyDescent="0.25">
      <c r="B422">
        <v>419</v>
      </c>
      <c r="C422" s="1">
        <v>44842</v>
      </c>
      <c r="D422" t="s">
        <v>17</v>
      </c>
      <c r="E422" t="s">
        <v>18</v>
      </c>
      <c r="F422">
        <v>25</v>
      </c>
      <c r="G422">
        <v>14</v>
      </c>
      <c r="H422">
        <v>350</v>
      </c>
      <c r="J422" t="s">
        <v>22</v>
      </c>
      <c r="K422" t="s">
        <v>26</v>
      </c>
      <c r="L422">
        <f t="shared" si="18"/>
        <v>2022</v>
      </c>
      <c r="M422" s="13">
        <f t="shared" si="19"/>
        <v>44835</v>
      </c>
      <c r="N422" t="str">
        <f t="shared" si="20"/>
        <v>Sin registrar</v>
      </c>
      <c r="O422" t="str">
        <f>IF(Tabla22[[#This Row],[quantity]]&gt;=umbral_grande, "Grande", IF(Tabla22[[#This Row],[quantity]]&gt;=umbral_mediano,"Mediano", "Pequeño"))</f>
        <v>Grande</v>
      </c>
    </row>
    <row r="423" spans="2:15" x14ac:dyDescent="0.25">
      <c r="B423">
        <v>420</v>
      </c>
      <c r="C423" s="1">
        <v>44956</v>
      </c>
      <c r="D423" t="s">
        <v>24</v>
      </c>
      <c r="E423" t="s">
        <v>11</v>
      </c>
      <c r="F423">
        <v>50</v>
      </c>
      <c r="G423">
        <v>13</v>
      </c>
      <c r="H423">
        <v>650</v>
      </c>
      <c r="I423" t="s">
        <v>19</v>
      </c>
      <c r="J423" t="s">
        <v>22</v>
      </c>
      <c r="K423" t="s">
        <v>20</v>
      </c>
      <c r="L423">
        <f t="shared" si="18"/>
        <v>2023</v>
      </c>
      <c r="M423" s="13">
        <f t="shared" si="19"/>
        <v>44927</v>
      </c>
      <c r="N423" t="str">
        <f t="shared" si="20"/>
        <v>Online</v>
      </c>
      <c r="O423" t="str">
        <f>IF(Tabla22[[#This Row],[quantity]]&gt;=umbral_grande, "Grande", IF(Tabla22[[#This Row],[quantity]]&gt;=umbral_mediano,"Mediano", "Pequeño"))</f>
        <v>Grande</v>
      </c>
    </row>
    <row r="424" spans="2:15" x14ac:dyDescent="0.25">
      <c r="B424">
        <v>421</v>
      </c>
      <c r="C424" s="1">
        <v>45009</v>
      </c>
      <c r="D424" t="s">
        <v>27</v>
      </c>
      <c r="E424" t="s">
        <v>18</v>
      </c>
      <c r="F424">
        <v>40</v>
      </c>
      <c r="G424">
        <v>2</v>
      </c>
      <c r="H424">
        <v>80</v>
      </c>
      <c r="I424" t="s">
        <v>19</v>
      </c>
      <c r="J424" t="s">
        <v>12</v>
      </c>
      <c r="K424" t="s">
        <v>26</v>
      </c>
      <c r="L424">
        <f t="shared" si="18"/>
        <v>2023</v>
      </c>
      <c r="M424" s="13">
        <f t="shared" si="19"/>
        <v>44986</v>
      </c>
      <c r="N424" t="str">
        <f t="shared" si="20"/>
        <v>Online</v>
      </c>
      <c r="O424" t="str">
        <f>IF(Tabla22[[#This Row],[quantity]]&gt;=umbral_grande, "Grande", IF(Tabla22[[#This Row],[quantity]]&gt;=umbral_mediano,"Mediano", "Pequeño"))</f>
        <v>Pequeño</v>
      </c>
    </row>
    <row r="425" spans="2:15" x14ac:dyDescent="0.25">
      <c r="B425">
        <v>422</v>
      </c>
      <c r="C425" s="1">
        <v>44775</v>
      </c>
      <c r="D425" t="s">
        <v>27</v>
      </c>
      <c r="E425" t="s">
        <v>18</v>
      </c>
      <c r="F425">
        <v>40</v>
      </c>
      <c r="G425">
        <v>7</v>
      </c>
      <c r="H425">
        <v>280</v>
      </c>
      <c r="I425" t="s">
        <v>19</v>
      </c>
      <c r="J425" t="s">
        <v>12</v>
      </c>
      <c r="K425" t="s">
        <v>20</v>
      </c>
      <c r="L425">
        <f t="shared" si="18"/>
        <v>2022</v>
      </c>
      <c r="M425" s="13">
        <f t="shared" si="19"/>
        <v>44774</v>
      </c>
      <c r="N425" t="str">
        <f t="shared" si="20"/>
        <v>Online</v>
      </c>
      <c r="O425" t="str">
        <f>IF(Tabla22[[#This Row],[quantity]]&gt;=umbral_grande, "Grande", IF(Tabla22[[#This Row],[quantity]]&gt;=umbral_mediano,"Mediano", "Pequeño"))</f>
        <v>Mediano</v>
      </c>
    </row>
    <row r="426" spans="2:15" x14ac:dyDescent="0.25">
      <c r="B426">
        <v>423</v>
      </c>
      <c r="C426" s="1">
        <v>44855</v>
      </c>
      <c r="D426" t="s">
        <v>24</v>
      </c>
      <c r="E426" t="s">
        <v>11</v>
      </c>
      <c r="F426">
        <v>50</v>
      </c>
      <c r="G426">
        <v>7</v>
      </c>
      <c r="H426">
        <v>350</v>
      </c>
      <c r="I426" t="s">
        <v>15</v>
      </c>
      <c r="J426" t="s">
        <v>22</v>
      </c>
      <c r="K426" t="s">
        <v>13</v>
      </c>
      <c r="L426">
        <f t="shared" si="18"/>
        <v>2022</v>
      </c>
      <c r="M426" s="13">
        <f t="shared" si="19"/>
        <v>44835</v>
      </c>
      <c r="N426" t="str">
        <f t="shared" si="20"/>
        <v>Cash</v>
      </c>
      <c r="O426" t="str">
        <f>IF(Tabla22[[#This Row],[quantity]]&gt;=umbral_grande, "Grande", IF(Tabla22[[#This Row],[quantity]]&gt;=umbral_mediano,"Mediano", "Pequeño"))</f>
        <v>Mediano</v>
      </c>
    </row>
    <row r="427" spans="2:15" x14ac:dyDescent="0.25">
      <c r="B427">
        <v>424</v>
      </c>
      <c r="C427" s="1">
        <v>44672</v>
      </c>
      <c r="D427" t="s">
        <v>17</v>
      </c>
      <c r="E427" t="s">
        <v>18</v>
      </c>
      <c r="F427">
        <v>25</v>
      </c>
      <c r="G427">
        <v>9</v>
      </c>
      <c r="H427">
        <v>225</v>
      </c>
      <c r="I427" t="s">
        <v>19</v>
      </c>
      <c r="J427" t="s">
        <v>22</v>
      </c>
      <c r="K427" t="s">
        <v>26</v>
      </c>
      <c r="L427">
        <f t="shared" si="18"/>
        <v>2022</v>
      </c>
      <c r="M427" s="13">
        <f t="shared" si="19"/>
        <v>44652</v>
      </c>
      <c r="N427" t="str">
        <f t="shared" si="20"/>
        <v>Online</v>
      </c>
      <c r="O427" t="str">
        <f>IF(Tabla22[[#This Row],[quantity]]&gt;=umbral_grande, "Grande", IF(Tabla22[[#This Row],[quantity]]&gt;=umbral_mediano,"Mediano", "Pequeño"))</f>
        <v>Mediano</v>
      </c>
    </row>
    <row r="428" spans="2:15" x14ac:dyDescent="0.25">
      <c r="B428">
        <v>425</v>
      </c>
      <c r="C428" s="1">
        <v>44790</v>
      </c>
      <c r="D428" t="s">
        <v>21</v>
      </c>
      <c r="E428" t="s">
        <v>11</v>
      </c>
      <c r="F428">
        <v>20</v>
      </c>
      <c r="G428">
        <v>14</v>
      </c>
      <c r="H428">
        <v>280</v>
      </c>
      <c r="I428" t="s">
        <v>19</v>
      </c>
      <c r="J428" t="s">
        <v>12</v>
      </c>
      <c r="K428" t="s">
        <v>16</v>
      </c>
      <c r="L428">
        <f t="shared" si="18"/>
        <v>2022</v>
      </c>
      <c r="M428" s="13">
        <f t="shared" si="19"/>
        <v>44774</v>
      </c>
      <c r="N428" t="str">
        <f t="shared" si="20"/>
        <v>Online</v>
      </c>
      <c r="O428" t="str">
        <f>IF(Tabla22[[#This Row],[quantity]]&gt;=umbral_grande, "Grande", IF(Tabla22[[#This Row],[quantity]]&gt;=umbral_mediano,"Mediano", "Pequeño"))</f>
        <v>Grande</v>
      </c>
    </row>
    <row r="429" spans="2:15" x14ac:dyDescent="0.25">
      <c r="B429">
        <v>426</v>
      </c>
      <c r="C429" s="1">
        <v>44946</v>
      </c>
      <c r="D429" t="s">
        <v>24</v>
      </c>
      <c r="E429" t="s">
        <v>11</v>
      </c>
      <c r="F429">
        <v>50</v>
      </c>
      <c r="G429">
        <v>14</v>
      </c>
      <c r="H429">
        <v>700</v>
      </c>
      <c r="I429" t="s">
        <v>15</v>
      </c>
      <c r="J429" t="s">
        <v>12</v>
      </c>
      <c r="K429" t="s">
        <v>26</v>
      </c>
      <c r="L429">
        <f t="shared" si="18"/>
        <v>2023</v>
      </c>
      <c r="M429" s="13">
        <f t="shared" si="19"/>
        <v>44927</v>
      </c>
      <c r="N429" t="str">
        <f t="shared" si="20"/>
        <v>Cash</v>
      </c>
      <c r="O429" t="str">
        <f>IF(Tabla22[[#This Row],[quantity]]&gt;=umbral_grande, "Grande", IF(Tabla22[[#This Row],[quantity]]&gt;=umbral_mediano,"Mediano", "Pequeño"))</f>
        <v>Grande</v>
      </c>
    </row>
    <row r="430" spans="2:15" x14ac:dyDescent="0.25">
      <c r="B430">
        <v>427</v>
      </c>
      <c r="C430" s="1">
        <v>44702</v>
      </c>
      <c r="D430" t="s">
        <v>25</v>
      </c>
      <c r="E430" t="s">
        <v>11</v>
      </c>
      <c r="F430">
        <v>60</v>
      </c>
      <c r="G430">
        <v>2</v>
      </c>
      <c r="H430">
        <v>120</v>
      </c>
      <c r="I430" t="s">
        <v>19</v>
      </c>
      <c r="J430" t="s">
        <v>12</v>
      </c>
      <c r="K430" t="s">
        <v>16</v>
      </c>
      <c r="L430">
        <f t="shared" si="18"/>
        <v>2022</v>
      </c>
      <c r="M430" s="13">
        <f t="shared" si="19"/>
        <v>44682</v>
      </c>
      <c r="N430" t="str">
        <f t="shared" si="20"/>
        <v>Online</v>
      </c>
      <c r="O430" t="str">
        <f>IF(Tabla22[[#This Row],[quantity]]&gt;=umbral_grande, "Grande", IF(Tabla22[[#This Row],[quantity]]&gt;=umbral_mediano,"Mediano", "Pequeño"))</f>
        <v>Pequeño</v>
      </c>
    </row>
    <row r="431" spans="2:15" x14ac:dyDescent="0.25">
      <c r="B431">
        <v>428</v>
      </c>
      <c r="C431" s="1">
        <v>44919</v>
      </c>
      <c r="D431" t="s">
        <v>17</v>
      </c>
      <c r="E431" t="s">
        <v>18</v>
      </c>
      <c r="F431">
        <v>25</v>
      </c>
      <c r="G431">
        <v>8</v>
      </c>
      <c r="H431">
        <v>200</v>
      </c>
      <c r="I431" t="s">
        <v>19</v>
      </c>
      <c r="J431" t="s">
        <v>12</v>
      </c>
      <c r="K431" t="s">
        <v>16</v>
      </c>
      <c r="L431">
        <f t="shared" si="18"/>
        <v>2022</v>
      </c>
      <c r="M431" s="13">
        <f t="shared" si="19"/>
        <v>44896</v>
      </c>
      <c r="N431" t="str">
        <f t="shared" si="20"/>
        <v>Online</v>
      </c>
      <c r="O431" t="str">
        <f>IF(Tabla22[[#This Row],[quantity]]&gt;=umbral_grande, "Grande", IF(Tabla22[[#This Row],[quantity]]&gt;=umbral_mediano,"Mediano", "Pequeño"))</f>
        <v>Mediano</v>
      </c>
    </row>
    <row r="432" spans="2:15" x14ac:dyDescent="0.25">
      <c r="B432">
        <v>429</v>
      </c>
      <c r="C432" s="1">
        <v>44823</v>
      </c>
      <c r="D432" t="s">
        <v>27</v>
      </c>
      <c r="E432" t="s">
        <v>18</v>
      </c>
      <c r="F432">
        <v>40</v>
      </c>
      <c r="G432">
        <v>3</v>
      </c>
      <c r="H432">
        <v>120</v>
      </c>
      <c r="I432" t="s">
        <v>19</v>
      </c>
      <c r="J432" t="s">
        <v>12</v>
      </c>
      <c r="K432" t="s">
        <v>13</v>
      </c>
      <c r="L432">
        <f t="shared" si="18"/>
        <v>2022</v>
      </c>
      <c r="M432" s="13">
        <f t="shared" si="19"/>
        <v>44805</v>
      </c>
      <c r="N432" t="str">
        <f t="shared" si="20"/>
        <v>Online</v>
      </c>
      <c r="O432" t="str">
        <f>IF(Tabla22[[#This Row],[quantity]]&gt;=umbral_grande, "Grande", IF(Tabla22[[#This Row],[quantity]]&gt;=umbral_mediano,"Mediano", "Pequeño"))</f>
        <v>Pequeño</v>
      </c>
    </row>
    <row r="433" spans="2:15" x14ac:dyDescent="0.25">
      <c r="B433">
        <v>430</v>
      </c>
      <c r="C433" s="1">
        <v>44870</v>
      </c>
      <c r="D433" t="s">
        <v>25</v>
      </c>
      <c r="E433" t="s">
        <v>11</v>
      </c>
      <c r="F433">
        <v>60</v>
      </c>
      <c r="G433">
        <v>4</v>
      </c>
      <c r="H433">
        <v>240</v>
      </c>
      <c r="I433" t="s">
        <v>19</v>
      </c>
      <c r="J433" t="s">
        <v>12</v>
      </c>
      <c r="K433" t="s">
        <v>13</v>
      </c>
      <c r="L433">
        <f t="shared" si="18"/>
        <v>2022</v>
      </c>
      <c r="M433" s="13">
        <f t="shared" si="19"/>
        <v>44866</v>
      </c>
      <c r="N433" t="str">
        <f t="shared" si="20"/>
        <v>Online</v>
      </c>
      <c r="O433" t="str">
        <f>IF(Tabla22[[#This Row],[quantity]]&gt;=umbral_grande, "Grande", IF(Tabla22[[#This Row],[quantity]]&gt;=umbral_mediano,"Mediano", "Pequeño"))</f>
        <v>Pequeño</v>
      </c>
    </row>
    <row r="434" spans="2:15" x14ac:dyDescent="0.25">
      <c r="B434">
        <v>431</v>
      </c>
      <c r="C434" s="1">
        <v>45001</v>
      </c>
      <c r="D434" t="s">
        <v>21</v>
      </c>
      <c r="E434" t="s">
        <v>11</v>
      </c>
      <c r="F434">
        <v>20</v>
      </c>
      <c r="G434">
        <v>6</v>
      </c>
      <c r="H434">
        <v>120</v>
      </c>
      <c r="I434" t="s">
        <v>19</v>
      </c>
      <c r="J434" t="s">
        <v>12</v>
      </c>
      <c r="K434" t="s">
        <v>20</v>
      </c>
      <c r="L434">
        <f t="shared" si="18"/>
        <v>2023</v>
      </c>
      <c r="M434" s="13">
        <f t="shared" si="19"/>
        <v>44986</v>
      </c>
      <c r="N434" t="str">
        <f t="shared" si="20"/>
        <v>Online</v>
      </c>
      <c r="O434" t="str">
        <f>IF(Tabla22[[#This Row],[quantity]]&gt;=umbral_grande, "Grande", IF(Tabla22[[#This Row],[quantity]]&gt;=umbral_mediano,"Mediano", "Pequeño"))</f>
        <v>Mediano</v>
      </c>
    </row>
    <row r="435" spans="2:15" x14ac:dyDescent="0.25">
      <c r="B435">
        <v>432</v>
      </c>
      <c r="C435" s="1">
        <v>45012</v>
      </c>
      <c r="D435" t="s">
        <v>21</v>
      </c>
      <c r="E435" t="s">
        <v>11</v>
      </c>
      <c r="F435">
        <v>20</v>
      </c>
      <c r="G435">
        <v>6</v>
      </c>
      <c r="H435">
        <v>120</v>
      </c>
      <c r="I435" t="s">
        <v>19</v>
      </c>
      <c r="J435" t="s">
        <v>12</v>
      </c>
      <c r="K435" t="s">
        <v>16</v>
      </c>
      <c r="L435">
        <f t="shared" si="18"/>
        <v>2023</v>
      </c>
      <c r="M435" s="13">
        <f t="shared" si="19"/>
        <v>44986</v>
      </c>
      <c r="N435" t="str">
        <f t="shared" si="20"/>
        <v>Online</v>
      </c>
      <c r="O435" t="str">
        <f>IF(Tabla22[[#This Row],[quantity]]&gt;=umbral_grande, "Grande", IF(Tabla22[[#This Row],[quantity]]&gt;=umbral_mediano,"Mediano", "Pequeño"))</f>
        <v>Mediano</v>
      </c>
    </row>
    <row r="436" spans="2:15" x14ac:dyDescent="0.25">
      <c r="B436">
        <v>433</v>
      </c>
      <c r="C436" s="1">
        <v>44708</v>
      </c>
      <c r="D436" t="s">
        <v>21</v>
      </c>
      <c r="E436" t="s">
        <v>11</v>
      </c>
      <c r="F436">
        <v>20</v>
      </c>
      <c r="G436">
        <v>14</v>
      </c>
      <c r="H436">
        <v>280</v>
      </c>
      <c r="I436" t="s">
        <v>19</v>
      </c>
      <c r="J436" t="s">
        <v>22</v>
      </c>
      <c r="K436" t="s">
        <v>20</v>
      </c>
      <c r="L436">
        <f t="shared" si="18"/>
        <v>2022</v>
      </c>
      <c r="M436" s="13">
        <f t="shared" si="19"/>
        <v>44682</v>
      </c>
      <c r="N436" t="str">
        <f t="shared" si="20"/>
        <v>Online</v>
      </c>
      <c r="O436" t="str">
        <f>IF(Tabla22[[#This Row],[quantity]]&gt;=umbral_grande, "Grande", IF(Tabla22[[#This Row],[quantity]]&gt;=umbral_mediano,"Mediano", "Pequeño"))</f>
        <v>Grande</v>
      </c>
    </row>
    <row r="437" spans="2:15" x14ac:dyDescent="0.25">
      <c r="B437">
        <v>434</v>
      </c>
      <c r="C437" s="1">
        <v>44794</v>
      </c>
      <c r="D437" t="s">
        <v>10</v>
      </c>
      <c r="E437" t="s">
        <v>11</v>
      </c>
      <c r="F437">
        <v>20</v>
      </c>
      <c r="G437">
        <v>12</v>
      </c>
      <c r="H437">
        <v>240</v>
      </c>
      <c r="I437" t="s">
        <v>15</v>
      </c>
      <c r="J437" t="s">
        <v>12</v>
      </c>
      <c r="K437" t="s">
        <v>23</v>
      </c>
      <c r="L437">
        <f t="shared" si="18"/>
        <v>2022</v>
      </c>
      <c r="M437" s="13">
        <f t="shared" si="19"/>
        <v>44774</v>
      </c>
      <c r="N437" t="str">
        <f t="shared" si="20"/>
        <v>Cash</v>
      </c>
      <c r="O437" t="str">
        <f>IF(Tabla22[[#This Row],[quantity]]&gt;=umbral_grande, "Grande", IF(Tabla22[[#This Row],[quantity]]&gt;=umbral_mediano,"Mediano", "Pequeño"))</f>
        <v>Grande</v>
      </c>
    </row>
    <row r="438" spans="2:15" x14ac:dyDescent="0.25">
      <c r="B438">
        <v>435</v>
      </c>
      <c r="C438" s="1">
        <v>44689</v>
      </c>
      <c r="D438" t="s">
        <v>25</v>
      </c>
      <c r="E438" t="s">
        <v>11</v>
      </c>
      <c r="F438">
        <v>60</v>
      </c>
      <c r="G438">
        <v>1</v>
      </c>
      <c r="H438">
        <v>60</v>
      </c>
      <c r="I438" t="s">
        <v>15</v>
      </c>
      <c r="J438" t="s">
        <v>22</v>
      </c>
      <c r="K438" t="s">
        <v>16</v>
      </c>
      <c r="L438">
        <f t="shared" si="18"/>
        <v>2022</v>
      </c>
      <c r="M438" s="13">
        <f t="shared" si="19"/>
        <v>44682</v>
      </c>
      <c r="N438" t="str">
        <f t="shared" si="20"/>
        <v>Cash</v>
      </c>
      <c r="O438" t="str">
        <f>IF(Tabla22[[#This Row],[quantity]]&gt;=umbral_grande, "Grande", IF(Tabla22[[#This Row],[quantity]]&gt;=umbral_mediano,"Mediano", "Pequeño"))</f>
        <v>Pequeño</v>
      </c>
    </row>
    <row r="439" spans="2:15" x14ac:dyDescent="0.25">
      <c r="B439">
        <v>436</v>
      </c>
      <c r="C439" s="1">
        <v>44931</v>
      </c>
      <c r="D439" t="s">
        <v>24</v>
      </c>
      <c r="E439" t="s">
        <v>11</v>
      </c>
      <c r="F439">
        <v>50</v>
      </c>
      <c r="G439">
        <v>10</v>
      </c>
      <c r="H439">
        <v>500</v>
      </c>
      <c r="I439" t="s">
        <v>15</v>
      </c>
      <c r="J439" t="s">
        <v>12</v>
      </c>
      <c r="K439" t="s">
        <v>26</v>
      </c>
      <c r="L439">
        <f t="shared" si="18"/>
        <v>2023</v>
      </c>
      <c r="M439" s="13">
        <f t="shared" si="19"/>
        <v>44927</v>
      </c>
      <c r="N439" t="str">
        <f t="shared" si="20"/>
        <v>Cash</v>
      </c>
      <c r="O439" t="str">
        <f>IF(Tabla22[[#This Row],[quantity]]&gt;=umbral_grande, "Grande", IF(Tabla22[[#This Row],[quantity]]&gt;=umbral_mediano,"Mediano", "Pequeño"))</f>
        <v>Mediano</v>
      </c>
    </row>
    <row r="440" spans="2:15" x14ac:dyDescent="0.25">
      <c r="B440">
        <v>437</v>
      </c>
      <c r="C440" s="1">
        <v>44804</v>
      </c>
      <c r="D440" t="s">
        <v>27</v>
      </c>
      <c r="E440" t="s">
        <v>18</v>
      </c>
      <c r="F440">
        <v>40</v>
      </c>
      <c r="G440">
        <v>1</v>
      </c>
      <c r="H440">
        <v>40</v>
      </c>
      <c r="J440" t="s">
        <v>12</v>
      </c>
      <c r="K440" t="s">
        <v>23</v>
      </c>
      <c r="L440">
        <f t="shared" si="18"/>
        <v>2022</v>
      </c>
      <c r="M440" s="13">
        <f t="shared" si="19"/>
        <v>44774</v>
      </c>
      <c r="N440" t="str">
        <f t="shared" si="20"/>
        <v>Sin registrar</v>
      </c>
      <c r="O440" t="str">
        <f>IF(Tabla22[[#This Row],[quantity]]&gt;=umbral_grande, "Grande", IF(Tabla22[[#This Row],[quantity]]&gt;=umbral_mediano,"Mediano", "Pequeño"))</f>
        <v>Pequeño</v>
      </c>
    </row>
    <row r="441" spans="2:15" x14ac:dyDescent="0.25">
      <c r="B441">
        <v>438</v>
      </c>
      <c r="C441" s="1">
        <v>44732</v>
      </c>
      <c r="D441" t="s">
        <v>27</v>
      </c>
      <c r="E441" t="s">
        <v>18</v>
      </c>
      <c r="F441">
        <v>40</v>
      </c>
      <c r="G441">
        <v>5</v>
      </c>
      <c r="H441">
        <v>200</v>
      </c>
      <c r="I441" t="s">
        <v>19</v>
      </c>
      <c r="J441" t="s">
        <v>12</v>
      </c>
      <c r="K441" t="s">
        <v>23</v>
      </c>
      <c r="L441">
        <f t="shared" si="18"/>
        <v>2022</v>
      </c>
      <c r="M441" s="13">
        <f t="shared" si="19"/>
        <v>44713</v>
      </c>
      <c r="N441" t="str">
        <f t="shared" si="20"/>
        <v>Online</v>
      </c>
      <c r="O441" t="str">
        <f>IF(Tabla22[[#This Row],[quantity]]&gt;=umbral_grande, "Grande", IF(Tabla22[[#This Row],[quantity]]&gt;=umbral_mediano,"Mediano", "Pequeño"))</f>
        <v>Pequeño</v>
      </c>
    </row>
    <row r="442" spans="2:15" x14ac:dyDescent="0.25">
      <c r="B442">
        <v>439</v>
      </c>
      <c r="C442" s="1">
        <v>44834</v>
      </c>
      <c r="D442" t="s">
        <v>24</v>
      </c>
      <c r="E442" t="s">
        <v>11</v>
      </c>
      <c r="F442">
        <v>50</v>
      </c>
      <c r="G442">
        <v>13</v>
      </c>
      <c r="H442">
        <v>650</v>
      </c>
      <c r="I442" t="s">
        <v>19</v>
      </c>
      <c r="J442" t="s">
        <v>12</v>
      </c>
      <c r="K442" t="s">
        <v>16</v>
      </c>
      <c r="L442">
        <f t="shared" si="18"/>
        <v>2022</v>
      </c>
      <c r="M442" s="13">
        <f t="shared" si="19"/>
        <v>44805</v>
      </c>
      <c r="N442" t="str">
        <f t="shared" si="20"/>
        <v>Online</v>
      </c>
      <c r="O442" t="str">
        <f>IF(Tabla22[[#This Row],[quantity]]&gt;=umbral_grande, "Grande", IF(Tabla22[[#This Row],[quantity]]&gt;=umbral_mediano,"Mediano", "Pequeño"))</f>
        <v>Grande</v>
      </c>
    </row>
    <row r="443" spans="2:15" x14ac:dyDescent="0.25">
      <c r="B443">
        <v>440</v>
      </c>
      <c r="C443" s="1">
        <v>44893</v>
      </c>
      <c r="D443" t="s">
        <v>10</v>
      </c>
      <c r="E443" t="s">
        <v>11</v>
      </c>
      <c r="F443">
        <v>20</v>
      </c>
      <c r="G443">
        <v>7</v>
      </c>
      <c r="H443">
        <v>140</v>
      </c>
      <c r="I443" t="s">
        <v>15</v>
      </c>
      <c r="J443" t="s">
        <v>12</v>
      </c>
      <c r="K443" t="s">
        <v>16</v>
      </c>
      <c r="L443">
        <f t="shared" si="18"/>
        <v>2022</v>
      </c>
      <c r="M443" s="13">
        <f t="shared" si="19"/>
        <v>44866</v>
      </c>
      <c r="N443" t="str">
        <f t="shared" si="20"/>
        <v>Cash</v>
      </c>
      <c r="O443" t="str">
        <f>IF(Tabla22[[#This Row],[quantity]]&gt;=umbral_grande, "Grande", IF(Tabla22[[#This Row],[quantity]]&gt;=umbral_mediano,"Mediano", "Pequeño"))</f>
        <v>Mediano</v>
      </c>
    </row>
    <row r="444" spans="2:15" x14ac:dyDescent="0.25">
      <c r="B444">
        <v>441</v>
      </c>
      <c r="C444" s="1">
        <v>44867</v>
      </c>
      <c r="D444" t="s">
        <v>10</v>
      </c>
      <c r="E444" t="s">
        <v>11</v>
      </c>
      <c r="F444">
        <v>20</v>
      </c>
      <c r="G444">
        <v>1</v>
      </c>
      <c r="H444">
        <v>20</v>
      </c>
      <c r="I444" t="s">
        <v>19</v>
      </c>
      <c r="J444" t="s">
        <v>22</v>
      </c>
      <c r="K444" t="s">
        <v>26</v>
      </c>
      <c r="L444">
        <f t="shared" si="18"/>
        <v>2022</v>
      </c>
      <c r="M444" s="13">
        <f t="shared" si="19"/>
        <v>44866</v>
      </c>
      <c r="N444" t="str">
        <f t="shared" si="20"/>
        <v>Online</v>
      </c>
      <c r="O444" t="str">
        <f>IF(Tabla22[[#This Row],[quantity]]&gt;=umbral_grande, "Grande", IF(Tabla22[[#This Row],[quantity]]&gt;=umbral_mediano,"Mediano", "Pequeño"))</f>
        <v>Pequeño</v>
      </c>
    </row>
    <row r="445" spans="2:15" x14ac:dyDescent="0.25">
      <c r="B445">
        <v>442</v>
      </c>
      <c r="C445" s="1">
        <v>44795</v>
      </c>
      <c r="D445" t="s">
        <v>17</v>
      </c>
      <c r="E445" t="s">
        <v>18</v>
      </c>
      <c r="F445">
        <v>25</v>
      </c>
      <c r="G445">
        <v>7</v>
      </c>
      <c r="H445">
        <v>175</v>
      </c>
      <c r="I445" t="s">
        <v>19</v>
      </c>
      <c r="J445" t="s">
        <v>22</v>
      </c>
      <c r="K445" t="s">
        <v>13</v>
      </c>
      <c r="L445">
        <f t="shared" si="18"/>
        <v>2022</v>
      </c>
      <c r="M445" s="13">
        <f t="shared" si="19"/>
        <v>44774</v>
      </c>
      <c r="N445" t="str">
        <f t="shared" si="20"/>
        <v>Online</v>
      </c>
      <c r="O445" t="str">
        <f>IF(Tabla22[[#This Row],[quantity]]&gt;=umbral_grande, "Grande", IF(Tabla22[[#This Row],[quantity]]&gt;=umbral_mediano,"Mediano", "Pequeño"))</f>
        <v>Mediano</v>
      </c>
    </row>
    <row r="446" spans="2:15" x14ac:dyDescent="0.25">
      <c r="B446">
        <v>443</v>
      </c>
      <c r="C446" s="1">
        <v>44809</v>
      </c>
      <c r="D446" t="s">
        <v>17</v>
      </c>
      <c r="E446" t="s">
        <v>18</v>
      </c>
      <c r="F446">
        <v>25</v>
      </c>
      <c r="G446">
        <v>12</v>
      </c>
      <c r="H446">
        <v>300</v>
      </c>
      <c r="I446" t="s">
        <v>15</v>
      </c>
      <c r="J446" t="s">
        <v>22</v>
      </c>
      <c r="K446" t="s">
        <v>13</v>
      </c>
      <c r="L446">
        <f t="shared" si="18"/>
        <v>2022</v>
      </c>
      <c r="M446" s="13">
        <f t="shared" si="19"/>
        <v>44805</v>
      </c>
      <c r="N446" t="str">
        <f t="shared" si="20"/>
        <v>Cash</v>
      </c>
      <c r="O446" t="str">
        <f>IF(Tabla22[[#This Row],[quantity]]&gt;=umbral_grande, "Grande", IF(Tabla22[[#This Row],[quantity]]&gt;=umbral_mediano,"Mediano", "Pequeño"))</f>
        <v>Grande</v>
      </c>
    </row>
    <row r="447" spans="2:15" x14ac:dyDescent="0.25">
      <c r="B447">
        <v>444</v>
      </c>
      <c r="C447" s="1">
        <v>44832</v>
      </c>
      <c r="D447" t="s">
        <v>24</v>
      </c>
      <c r="E447" t="s">
        <v>11</v>
      </c>
      <c r="F447">
        <v>50</v>
      </c>
      <c r="G447">
        <v>4</v>
      </c>
      <c r="H447">
        <v>200</v>
      </c>
      <c r="J447" t="s">
        <v>12</v>
      </c>
      <c r="K447" t="s">
        <v>20</v>
      </c>
      <c r="L447">
        <f t="shared" si="18"/>
        <v>2022</v>
      </c>
      <c r="M447" s="13">
        <f t="shared" si="19"/>
        <v>44805</v>
      </c>
      <c r="N447" t="str">
        <f t="shared" si="20"/>
        <v>Sin registrar</v>
      </c>
      <c r="O447" t="str">
        <f>IF(Tabla22[[#This Row],[quantity]]&gt;=umbral_grande, "Grande", IF(Tabla22[[#This Row],[quantity]]&gt;=umbral_mediano,"Mediano", "Pequeño"))</f>
        <v>Pequeño</v>
      </c>
    </row>
    <row r="448" spans="2:15" x14ac:dyDescent="0.25">
      <c r="B448">
        <v>445</v>
      </c>
      <c r="C448" s="1">
        <v>44856</v>
      </c>
      <c r="D448" t="s">
        <v>25</v>
      </c>
      <c r="E448" t="s">
        <v>11</v>
      </c>
      <c r="F448">
        <v>60</v>
      </c>
      <c r="G448">
        <v>14</v>
      </c>
      <c r="H448">
        <v>840</v>
      </c>
      <c r="I448" t="s">
        <v>19</v>
      </c>
      <c r="J448" t="s">
        <v>22</v>
      </c>
      <c r="K448" t="s">
        <v>23</v>
      </c>
      <c r="L448">
        <f t="shared" si="18"/>
        <v>2022</v>
      </c>
      <c r="M448" s="13">
        <f t="shared" si="19"/>
        <v>44835</v>
      </c>
      <c r="N448" t="str">
        <f t="shared" si="20"/>
        <v>Online</v>
      </c>
      <c r="O448" t="str">
        <f>IF(Tabla22[[#This Row],[quantity]]&gt;=umbral_grande, "Grande", IF(Tabla22[[#This Row],[quantity]]&gt;=umbral_mediano,"Mediano", "Pequeño"))</f>
        <v>Grande</v>
      </c>
    </row>
    <row r="449" spans="2:15" x14ac:dyDescent="0.25">
      <c r="B449">
        <v>446</v>
      </c>
      <c r="C449" s="1">
        <v>44804</v>
      </c>
      <c r="D449" t="s">
        <v>27</v>
      </c>
      <c r="E449" t="s">
        <v>18</v>
      </c>
      <c r="F449">
        <v>40</v>
      </c>
      <c r="G449">
        <v>9</v>
      </c>
      <c r="H449">
        <v>360</v>
      </c>
      <c r="I449" t="s">
        <v>15</v>
      </c>
      <c r="J449" t="s">
        <v>12</v>
      </c>
      <c r="K449" t="s">
        <v>13</v>
      </c>
      <c r="L449">
        <f t="shared" si="18"/>
        <v>2022</v>
      </c>
      <c r="M449" s="13">
        <f t="shared" si="19"/>
        <v>44774</v>
      </c>
      <c r="N449" t="str">
        <f t="shared" si="20"/>
        <v>Cash</v>
      </c>
      <c r="O449" t="str">
        <f>IF(Tabla22[[#This Row],[quantity]]&gt;=umbral_grande, "Grande", IF(Tabla22[[#This Row],[quantity]]&gt;=umbral_mediano,"Mediano", "Pequeño"))</f>
        <v>Mediano</v>
      </c>
    </row>
    <row r="450" spans="2:15" x14ac:dyDescent="0.25">
      <c r="B450">
        <v>447</v>
      </c>
      <c r="C450" s="1">
        <v>44943</v>
      </c>
      <c r="D450" t="s">
        <v>24</v>
      </c>
      <c r="E450" t="s">
        <v>11</v>
      </c>
      <c r="F450">
        <v>50</v>
      </c>
      <c r="G450">
        <v>6</v>
      </c>
      <c r="H450">
        <v>300</v>
      </c>
      <c r="I450" t="s">
        <v>19</v>
      </c>
      <c r="J450" t="s">
        <v>22</v>
      </c>
      <c r="K450" t="s">
        <v>16</v>
      </c>
      <c r="L450">
        <f t="shared" si="18"/>
        <v>2023</v>
      </c>
      <c r="M450" s="13">
        <f t="shared" si="19"/>
        <v>44927</v>
      </c>
      <c r="N450" t="str">
        <f t="shared" si="20"/>
        <v>Online</v>
      </c>
      <c r="O450" t="str">
        <f>IF(Tabla22[[#This Row],[quantity]]&gt;=umbral_grande, "Grande", IF(Tabla22[[#This Row],[quantity]]&gt;=umbral_mediano,"Mediano", "Pequeño"))</f>
        <v>Mediano</v>
      </c>
    </row>
    <row r="451" spans="2:15" x14ac:dyDescent="0.25">
      <c r="B451">
        <v>448</v>
      </c>
      <c r="C451" s="1">
        <v>44769</v>
      </c>
      <c r="D451" t="s">
        <v>14</v>
      </c>
      <c r="E451" t="s">
        <v>11</v>
      </c>
      <c r="F451">
        <v>20</v>
      </c>
      <c r="G451">
        <v>6</v>
      </c>
      <c r="H451">
        <v>120</v>
      </c>
      <c r="I451" t="s">
        <v>15</v>
      </c>
      <c r="J451" t="s">
        <v>22</v>
      </c>
      <c r="K451" t="s">
        <v>20</v>
      </c>
      <c r="L451">
        <f t="shared" si="18"/>
        <v>2022</v>
      </c>
      <c r="M451" s="13">
        <f t="shared" si="19"/>
        <v>44743</v>
      </c>
      <c r="N451" t="str">
        <f t="shared" si="20"/>
        <v>Cash</v>
      </c>
      <c r="O451" t="str">
        <f>IF(Tabla22[[#This Row],[quantity]]&gt;=umbral_grande, "Grande", IF(Tabla22[[#This Row],[quantity]]&gt;=umbral_mediano,"Mediano", "Pequeño"))</f>
        <v>Mediano</v>
      </c>
    </row>
    <row r="452" spans="2:15" x14ac:dyDescent="0.25">
      <c r="B452">
        <v>449</v>
      </c>
      <c r="C452" s="1">
        <v>44813</v>
      </c>
      <c r="D452" t="s">
        <v>24</v>
      </c>
      <c r="E452" t="s">
        <v>11</v>
      </c>
      <c r="F452">
        <v>50</v>
      </c>
      <c r="G452">
        <v>4</v>
      </c>
      <c r="H452">
        <v>200</v>
      </c>
      <c r="I452" t="s">
        <v>15</v>
      </c>
      <c r="J452" t="s">
        <v>12</v>
      </c>
      <c r="K452" t="s">
        <v>16</v>
      </c>
      <c r="L452">
        <f t="shared" si="18"/>
        <v>2022</v>
      </c>
      <c r="M452" s="13">
        <f t="shared" si="19"/>
        <v>44805</v>
      </c>
      <c r="N452" t="str">
        <f t="shared" si="20"/>
        <v>Cash</v>
      </c>
      <c r="O452" t="str">
        <f>IF(Tabla22[[#This Row],[quantity]]&gt;=umbral_grande, "Grande", IF(Tabla22[[#This Row],[quantity]]&gt;=umbral_mediano,"Mediano", "Pequeño"))</f>
        <v>Pequeño</v>
      </c>
    </row>
    <row r="453" spans="2:15" x14ac:dyDescent="0.25">
      <c r="B453">
        <v>450</v>
      </c>
      <c r="C453" s="1">
        <v>44701</v>
      </c>
      <c r="D453" t="s">
        <v>17</v>
      </c>
      <c r="E453" t="s">
        <v>18</v>
      </c>
      <c r="F453">
        <v>25</v>
      </c>
      <c r="G453">
        <v>1</v>
      </c>
      <c r="H453">
        <v>25</v>
      </c>
      <c r="I453" t="s">
        <v>19</v>
      </c>
      <c r="J453" t="s">
        <v>12</v>
      </c>
      <c r="K453" t="s">
        <v>23</v>
      </c>
      <c r="L453">
        <f t="shared" ref="L453:L516" si="21">YEAR(C453)</f>
        <v>2022</v>
      </c>
      <c r="M453" s="13">
        <f t="shared" ref="M453:M516" si="22">DATE(YEAR(C453),MONTH(C453),1)</f>
        <v>44682</v>
      </c>
      <c r="N453" t="str">
        <f t="shared" ref="N453:N516" si="23">IF(I453 = "", "Sin registrar",I453)</f>
        <v>Online</v>
      </c>
      <c r="O453" t="str">
        <f>IF(Tabla22[[#This Row],[quantity]]&gt;=umbral_grande, "Grande", IF(Tabla22[[#This Row],[quantity]]&gt;=umbral_mediano,"Mediano", "Pequeño"))</f>
        <v>Pequeño</v>
      </c>
    </row>
    <row r="454" spans="2:15" x14ac:dyDescent="0.25">
      <c r="B454">
        <v>451</v>
      </c>
      <c r="C454" s="1">
        <v>45000</v>
      </c>
      <c r="D454" t="s">
        <v>17</v>
      </c>
      <c r="E454" t="s">
        <v>18</v>
      </c>
      <c r="F454">
        <v>25</v>
      </c>
      <c r="G454">
        <v>10</v>
      </c>
      <c r="H454">
        <v>250</v>
      </c>
      <c r="I454" t="s">
        <v>15</v>
      </c>
      <c r="J454" t="s">
        <v>22</v>
      </c>
      <c r="K454" t="s">
        <v>26</v>
      </c>
      <c r="L454">
        <f t="shared" si="21"/>
        <v>2023</v>
      </c>
      <c r="M454" s="13">
        <f t="shared" si="22"/>
        <v>44986</v>
      </c>
      <c r="N454" t="str">
        <f t="shared" si="23"/>
        <v>Cash</v>
      </c>
      <c r="O454" t="str">
        <f>IF(Tabla22[[#This Row],[quantity]]&gt;=umbral_grande, "Grande", IF(Tabla22[[#This Row],[quantity]]&gt;=umbral_mediano,"Mediano", "Pequeño"))</f>
        <v>Mediano</v>
      </c>
    </row>
    <row r="455" spans="2:15" x14ac:dyDescent="0.25">
      <c r="B455">
        <v>452</v>
      </c>
      <c r="C455" s="1">
        <v>44920</v>
      </c>
      <c r="D455" t="s">
        <v>24</v>
      </c>
      <c r="E455" t="s">
        <v>11</v>
      </c>
      <c r="F455">
        <v>50</v>
      </c>
      <c r="G455">
        <v>5</v>
      </c>
      <c r="H455">
        <v>250</v>
      </c>
      <c r="I455" t="s">
        <v>19</v>
      </c>
      <c r="J455" t="s">
        <v>12</v>
      </c>
      <c r="K455" t="s">
        <v>16</v>
      </c>
      <c r="L455">
        <f t="shared" si="21"/>
        <v>2022</v>
      </c>
      <c r="M455" s="13">
        <f t="shared" si="22"/>
        <v>44896</v>
      </c>
      <c r="N455" t="str">
        <f t="shared" si="23"/>
        <v>Online</v>
      </c>
      <c r="O455" t="str">
        <f>IF(Tabla22[[#This Row],[quantity]]&gt;=umbral_grande, "Grande", IF(Tabla22[[#This Row],[quantity]]&gt;=umbral_mediano,"Mediano", "Pequeño"))</f>
        <v>Pequeño</v>
      </c>
    </row>
    <row r="456" spans="2:15" x14ac:dyDescent="0.25">
      <c r="B456">
        <v>453</v>
      </c>
      <c r="C456" s="1">
        <v>44854</v>
      </c>
      <c r="D456" t="s">
        <v>25</v>
      </c>
      <c r="E456" t="s">
        <v>11</v>
      </c>
      <c r="F456">
        <v>60</v>
      </c>
      <c r="G456">
        <v>1</v>
      </c>
      <c r="H456">
        <v>60</v>
      </c>
      <c r="I456" t="s">
        <v>19</v>
      </c>
      <c r="J456" t="s">
        <v>22</v>
      </c>
      <c r="K456" t="s">
        <v>26</v>
      </c>
      <c r="L456">
        <f t="shared" si="21"/>
        <v>2022</v>
      </c>
      <c r="M456" s="13">
        <f t="shared" si="22"/>
        <v>44835</v>
      </c>
      <c r="N456" t="str">
        <f t="shared" si="23"/>
        <v>Online</v>
      </c>
      <c r="O456" t="str">
        <f>IF(Tabla22[[#This Row],[quantity]]&gt;=umbral_grande, "Grande", IF(Tabla22[[#This Row],[quantity]]&gt;=umbral_mediano,"Mediano", "Pequeño"))</f>
        <v>Pequeño</v>
      </c>
    </row>
    <row r="457" spans="2:15" x14ac:dyDescent="0.25">
      <c r="B457">
        <v>454</v>
      </c>
      <c r="C457" s="1">
        <v>44992</v>
      </c>
      <c r="D457" t="s">
        <v>25</v>
      </c>
      <c r="E457" t="s">
        <v>11</v>
      </c>
      <c r="F457">
        <v>60</v>
      </c>
      <c r="G457">
        <v>1</v>
      </c>
      <c r="H457">
        <v>60</v>
      </c>
      <c r="I457" t="s">
        <v>19</v>
      </c>
      <c r="J457" t="s">
        <v>22</v>
      </c>
      <c r="K457" t="s">
        <v>20</v>
      </c>
      <c r="L457">
        <f t="shared" si="21"/>
        <v>2023</v>
      </c>
      <c r="M457" s="13">
        <f t="shared" si="22"/>
        <v>44986</v>
      </c>
      <c r="N457" t="str">
        <f t="shared" si="23"/>
        <v>Online</v>
      </c>
      <c r="O457" t="str">
        <f>IF(Tabla22[[#This Row],[quantity]]&gt;=umbral_grande, "Grande", IF(Tabla22[[#This Row],[quantity]]&gt;=umbral_mediano,"Mediano", "Pequeño"))</f>
        <v>Pequeño</v>
      </c>
    </row>
    <row r="458" spans="2:15" x14ac:dyDescent="0.25">
      <c r="B458">
        <v>455</v>
      </c>
      <c r="C458" s="1">
        <v>44986</v>
      </c>
      <c r="D458" t="s">
        <v>27</v>
      </c>
      <c r="E458" t="s">
        <v>18</v>
      </c>
      <c r="F458">
        <v>40</v>
      </c>
      <c r="G458">
        <v>11</v>
      </c>
      <c r="H458">
        <v>440</v>
      </c>
      <c r="I458" t="s">
        <v>15</v>
      </c>
      <c r="J458" t="s">
        <v>12</v>
      </c>
      <c r="K458" t="s">
        <v>26</v>
      </c>
      <c r="L458">
        <f t="shared" si="21"/>
        <v>2023</v>
      </c>
      <c r="M458" s="13">
        <f t="shared" si="22"/>
        <v>44986</v>
      </c>
      <c r="N458" t="str">
        <f t="shared" si="23"/>
        <v>Cash</v>
      </c>
      <c r="O458" t="str">
        <f>IF(Tabla22[[#This Row],[quantity]]&gt;=umbral_grande, "Grande", IF(Tabla22[[#This Row],[quantity]]&gt;=umbral_mediano,"Mediano", "Pequeño"))</f>
        <v>Grande</v>
      </c>
    </row>
    <row r="459" spans="2:15" x14ac:dyDescent="0.25">
      <c r="B459">
        <v>456</v>
      </c>
      <c r="C459" s="1">
        <v>44926</v>
      </c>
      <c r="D459" t="s">
        <v>27</v>
      </c>
      <c r="E459" t="s">
        <v>18</v>
      </c>
      <c r="F459">
        <v>40</v>
      </c>
      <c r="G459">
        <v>13</v>
      </c>
      <c r="H459">
        <v>520</v>
      </c>
      <c r="J459" t="s">
        <v>22</v>
      </c>
      <c r="K459" t="s">
        <v>13</v>
      </c>
      <c r="L459">
        <f t="shared" si="21"/>
        <v>2022</v>
      </c>
      <c r="M459" s="13">
        <f t="shared" si="22"/>
        <v>44896</v>
      </c>
      <c r="N459" t="str">
        <f t="shared" si="23"/>
        <v>Sin registrar</v>
      </c>
      <c r="O459" t="str">
        <f>IF(Tabla22[[#This Row],[quantity]]&gt;=umbral_grande, "Grande", IF(Tabla22[[#This Row],[quantity]]&gt;=umbral_mediano,"Mediano", "Pequeño"))</f>
        <v>Grande</v>
      </c>
    </row>
    <row r="460" spans="2:15" x14ac:dyDescent="0.25">
      <c r="B460">
        <v>457</v>
      </c>
      <c r="C460" s="1">
        <v>44850</v>
      </c>
      <c r="D460" t="s">
        <v>27</v>
      </c>
      <c r="E460" t="s">
        <v>18</v>
      </c>
      <c r="F460">
        <v>40</v>
      </c>
      <c r="G460">
        <v>11</v>
      </c>
      <c r="H460">
        <v>440</v>
      </c>
      <c r="I460" t="s">
        <v>15</v>
      </c>
      <c r="J460" t="s">
        <v>12</v>
      </c>
      <c r="K460" t="s">
        <v>20</v>
      </c>
      <c r="L460">
        <f t="shared" si="21"/>
        <v>2022</v>
      </c>
      <c r="M460" s="13">
        <f t="shared" si="22"/>
        <v>44835</v>
      </c>
      <c r="N460" t="str">
        <f t="shared" si="23"/>
        <v>Cash</v>
      </c>
      <c r="O460" t="str">
        <f>IF(Tabla22[[#This Row],[quantity]]&gt;=umbral_grande, "Grande", IF(Tabla22[[#This Row],[quantity]]&gt;=umbral_mediano,"Mediano", "Pequeño"))</f>
        <v>Grande</v>
      </c>
    </row>
    <row r="461" spans="2:15" x14ac:dyDescent="0.25">
      <c r="B461">
        <v>458</v>
      </c>
      <c r="C461" s="1">
        <v>44816</v>
      </c>
      <c r="D461" t="s">
        <v>17</v>
      </c>
      <c r="E461" t="s">
        <v>18</v>
      </c>
      <c r="F461">
        <v>25</v>
      </c>
      <c r="G461">
        <v>8</v>
      </c>
      <c r="H461">
        <v>200</v>
      </c>
      <c r="I461" t="s">
        <v>15</v>
      </c>
      <c r="J461" t="s">
        <v>22</v>
      </c>
      <c r="K461" t="s">
        <v>26</v>
      </c>
      <c r="L461">
        <f t="shared" si="21"/>
        <v>2022</v>
      </c>
      <c r="M461" s="13">
        <f t="shared" si="22"/>
        <v>44805</v>
      </c>
      <c r="N461" t="str">
        <f t="shared" si="23"/>
        <v>Cash</v>
      </c>
      <c r="O461" t="str">
        <f>IF(Tabla22[[#This Row],[quantity]]&gt;=umbral_grande, "Grande", IF(Tabla22[[#This Row],[quantity]]&gt;=umbral_mediano,"Mediano", "Pequeño"))</f>
        <v>Mediano</v>
      </c>
    </row>
    <row r="462" spans="2:15" x14ac:dyDescent="0.25">
      <c r="B462">
        <v>459</v>
      </c>
      <c r="C462" s="1">
        <v>44720</v>
      </c>
      <c r="D462" t="s">
        <v>14</v>
      </c>
      <c r="E462" t="s">
        <v>11</v>
      </c>
      <c r="F462">
        <v>20</v>
      </c>
      <c r="G462">
        <v>14</v>
      </c>
      <c r="H462">
        <v>280</v>
      </c>
      <c r="I462" t="s">
        <v>15</v>
      </c>
      <c r="J462" t="s">
        <v>12</v>
      </c>
      <c r="K462" t="s">
        <v>13</v>
      </c>
      <c r="L462">
        <f t="shared" si="21"/>
        <v>2022</v>
      </c>
      <c r="M462" s="13">
        <f t="shared" si="22"/>
        <v>44713</v>
      </c>
      <c r="N462" t="str">
        <f t="shared" si="23"/>
        <v>Cash</v>
      </c>
      <c r="O462" t="str">
        <f>IF(Tabla22[[#This Row],[quantity]]&gt;=umbral_grande, "Grande", IF(Tabla22[[#This Row],[quantity]]&gt;=umbral_mediano,"Mediano", "Pequeño"))</f>
        <v>Grande</v>
      </c>
    </row>
    <row r="463" spans="2:15" x14ac:dyDescent="0.25">
      <c r="B463">
        <v>460</v>
      </c>
      <c r="C463" s="1">
        <v>44885</v>
      </c>
      <c r="D463" t="s">
        <v>10</v>
      </c>
      <c r="E463" t="s">
        <v>11</v>
      </c>
      <c r="F463">
        <v>20</v>
      </c>
      <c r="G463">
        <v>2</v>
      </c>
      <c r="H463">
        <v>40</v>
      </c>
      <c r="I463" t="s">
        <v>15</v>
      </c>
      <c r="J463" t="s">
        <v>12</v>
      </c>
      <c r="K463" t="s">
        <v>23</v>
      </c>
      <c r="L463">
        <f t="shared" si="21"/>
        <v>2022</v>
      </c>
      <c r="M463" s="13">
        <f t="shared" si="22"/>
        <v>44866</v>
      </c>
      <c r="N463" t="str">
        <f t="shared" si="23"/>
        <v>Cash</v>
      </c>
      <c r="O463" t="str">
        <f>IF(Tabla22[[#This Row],[quantity]]&gt;=umbral_grande, "Grande", IF(Tabla22[[#This Row],[quantity]]&gt;=umbral_mediano,"Mediano", "Pequeño"))</f>
        <v>Pequeño</v>
      </c>
    </row>
    <row r="464" spans="2:15" x14ac:dyDescent="0.25">
      <c r="B464">
        <v>461</v>
      </c>
      <c r="C464" s="1">
        <v>44764</v>
      </c>
      <c r="D464" t="s">
        <v>17</v>
      </c>
      <c r="E464" t="s">
        <v>18</v>
      </c>
      <c r="F464">
        <v>25</v>
      </c>
      <c r="G464">
        <v>5</v>
      </c>
      <c r="H464">
        <v>125</v>
      </c>
      <c r="I464" t="s">
        <v>15</v>
      </c>
      <c r="J464" t="s">
        <v>12</v>
      </c>
      <c r="K464" t="s">
        <v>26</v>
      </c>
      <c r="L464">
        <f t="shared" si="21"/>
        <v>2022</v>
      </c>
      <c r="M464" s="13">
        <f t="shared" si="22"/>
        <v>44743</v>
      </c>
      <c r="N464" t="str">
        <f t="shared" si="23"/>
        <v>Cash</v>
      </c>
      <c r="O464" t="str">
        <f>IF(Tabla22[[#This Row],[quantity]]&gt;=umbral_grande, "Grande", IF(Tabla22[[#This Row],[quantity]]&gt;=umbral_mediano,"Mediano", "Pequeño"))</f>
        <v>Pequeño</v>
      </c>
    </row>
    <row r="465" spans="2:15" x14ac:dyDescent="0.25">
      <c r="B465">
        <v>462</v>
      </c>
      <c r="C465" s="1">
        <v>44675</v>
      </c>
      <c r="D465" t="s">
        <v>14</v>
      </c>
      <c r="E465" t="s">
        <v>11</v>
      </c>
      <c r="F465">
        <v>20</v>
      </c>
      <c r="G465">
        <v>3</v>
      </c>
      <c r="H465">
        <v>60</v>
      </c>
      <c r="I465" t="s">
        <v>15</v>
      </c>
      <c r="J465" t="s">
        <v>12</v>
      </c>
      <c r="K465" t="s">
        <v>23</v>
      </c>
      <c r="L465">
        <f t="shared" si="21"/>
        <v>2022</v>
      </c>
      <c r="M465" s="13">
        <f t="shared" si="22"/>
        <v>44652</v>
      </c>
      <c r="N465" t="str">
        <f t="shared" si="23"/>
        <v>Cash</v>
      </c>
      <c r="O465" t="str">
        <f>IF(Tabla22[[#This Row],[quantity]]&gt;=umbral_grande, "Grande", IF(Tabla22[[#This Row],[quantity]]&gt;=umbral_mediano,"Mediano", "Pequeño"))</f>
        <v>Pequeño</v>
      </c>
    </row>
    <row r="466" spans="2:15" x14ac:dyDescent="0.25">
      <c r="B466">
        <v>463</v>
      </c>
      <c r="C466" s="1">
        <v>44723</v>
      </c>
      <c r="D466" t="s">
        <v>25</v>
      </c>
      <c r="E466" t="s">
        <v>11</v>
      </c>
      <c r="F466">
        <v>60</v>
      </c>
      <c r="G466">
        <v>6</v>
      </c>
      <c r="H466">
        <v>360</v>
      </c>
      <c r="I466" t="s">
        <v>19</v>
      </c>
      <c r="J466" t="s">
        <v>12</v>
      </c>
      <c r="K466" t="s">
        <v>26</v>
      </c>
      <c r="L466">
        <f t="shared" si="21"/>
        <v>2022</v>
      </c>
      <c r="M466" s="13">
        <f t="shared" si="22"/>
        <v>44713</v>
      </c>
      <c r="N466" t="str">
        <f t="shared" si="23"/>
        <v>Online</v>
      </c>
      <c r="O466" t="str">
        <f>IF(Tabla22[[#This Row],[quantity]]&gt;=umbral_grande, "Grande", IF(Tabla22[[#This Row],[quantity]]&gt;=umbral_mediano,"Mediano", "Pequeño"))</f>
        <v>Mediano</v>
      </c>
    </row>
    <row r="467" spans="2:15" x14ac:dyDescent="0.25">
      <c r="B467">
        <v>464</v>
      </c>
      <c r="C467" s="1">
        <v>44852</v>
      </c>
      <c r="D467" t="s">
        <v>17</v>
      </c>
      <c r="E467" t="s">
        <v>18</v>
      </c>
      <c r="F467">
        <v>25</v>
      </c>
      <c r="G467">
        <v>13</v>
      </c>
      <c r="H467">
        <v>325</v>
      </c>
      <c r="I467" t="s">
        <v>15</v>
      </c>
      <c r="J467" t="s">
        <v>12</v>
      </c>
      <c r="K467" t="s">
        <v>23</v>
      </c>
      <c r="L467">
        <f t="shared" si="21"/>
        <v>2022</v>
      </c>
      <c r="M467" s="13">
        <f t="shared" si="22"/>
        <v>44835</v>
      </c>
      <c r="N467" t="str">
        <f t="shared" si="23"/>
        <v>Cash</v>
      </c>
      <c r="O467" t="str">
        <f>IF(Tabla22[[#This Row],[quantity]]&gt;=umbral_grande, "Grande", IF(Tabla22[[#This Row],[quantity]]&gt;=umbral_mediano,"Mediano", "Pequeño"))</f>
        <v>Grande</v>
      </c>
    </row>
    <row r="468" spans="2:15" x14ac:dyDescent="0.25">
      <c r="B468">
        <v>465</v>
      </c>
      <c r="C468" s="1">
        <v>44941</v>
      </c>
      <c r="D468" t="s">
        <v>17</v>
      </c>
      <c r="E468" t="s">
        <v>18</v>
      </c>
      <c r="F468">
        <v>25</v>
      </c>
      <c r="G468">
        <v>12</v>
      </c>
      <c r="H468">
        <v>300</v>
      </c>
      <c r="I468" t="s">
        <v>19</v>
      </c>
      <c r="J468" t="s">
        <v>12</v>
      </c>
      <c r="K468" t="s">
        <v>20</v>
      </c>
      <c r="L468">
        <f t="shared" si="21"/>
        <v>2023</v>
      </c>
      <c r="M468" s="13">
        <f t="shared" si="22"/>
        <v>44927</v>
      </c>
      <c r="N468" t="str">
        <f t="shared" si="23"/>
        <v>Online</v>
      </c>
      <c r="O468" t="str">
        <f>IF(Tabla22[[#This Row],[quantity]]&gt;=umbral_grande, "Grande", IF(Tabla22[[#This Row],[quantity]]&gt;=umbral_mediano,"Mediano", "Pequeño"))</f>
        <v>Grande</v>
      </c>
    </row>
    <row r="469" spans="2:15" x14ac:dyDescent="0.25">
      <c r="B469">
        <v>466</v>
      </c>
      <c r="C469" s="1">
        <v>44937</v>
      </c>
      <c r="D469" t="s">
        <v>21</v>
      </c>
      <c r="E469" t="s">
        <v>11</v>
      </c>
      <c r="F469">
        <v>20</v>
      </c>
      <c r="G469">
        <v>6</v>
      </c>
      <c r="H469">
        <v>120</v>
      </c>
      <c r="I469" t="s">
        <v>15</v>
      </c>
      <c r="J469" t="s">
        <v>12</v>
      </c>
      <c r="K469" t="s">
        <v>20</v>
      </c>
      <c r="L469">
        <f t="shared" si="21"/>
        <v>2023</v>
      </c>
      <c r="M469" s="13">
        <f t="shared" si="22"/>
        <v>44927</v>
      </c>
      <c r="N469" t="str">
        <f t="shared" si="23"/>
        <v>Cash</v>
      </c>
      <c r="O469" t="str">
        <f>IF(Tabla22[[#This Row],[quantity]]&gt;=umbral_grande, "Grande", IF(Tabla22[[#This Row],[quantity]]&gt;=umbral_mediano,"Mediano", "Pequeño"))</f>
        <v>Mediano</v>
      </c>
    </row>
    <row r="470" spans="2:15" x14ac:dyDescent="0.25">
      <c r="B470">
        <v>467</v>
      </c>
      <c r="C470" s="1">
        <v>44851</v>
      </c>
      <c r="D470" t="s">
        <v>10</v>
      </c>
      <c r="E470" t="s">
        <v>11</v>
      </c>
      <c r="F470">
        <v>20</v>
      </c>
      <c r="G470">
        <v>11</v>
      </c>
      <c r="H470">
        <v>220</v>
      </c>
      <c r="I470" t="s">
        <v>19</v>
      </c>
      <c r="J470" t="s">
        <v>12</v>
      </c>
      <c r="K470" t="s">
        <v>23</v>
      </c>
      <c r="L470">
        <f t="shared" si="21"/>
        <v>2022</v>
      </c>
      <c r="M470" s="13">
        <f t="shared" si="22"/>
        <v>44835</v>
      </c>
      <c r="N470" t="str">
        <f t="shared" si="23"/>
        <v>Online</v>
      </c>
      <c r="O470" t="str">
        <f>IF(Tabla22[[#This Row],[quantity]]&gt;=umbral_grande, "Grande", IF(Tabla22[[#This Row],[quantity]]&gt;=umbral_mediano,"Mediano", "Pequeño"))</f>
        <v>Grande</v>
      </c>
    </row>
    <row r="471" spans="2:15" x14ac:dyDescent="0.25">
      <c r="B471">
        <v>468</v>
      </c>
      <c r="C471" s="1">
        <v>44812</v>
      </c>
      <c r="D471" t="s">
        <v>21</v>
      </c>
      <c r="E471" t="s">
        <v>11</v>
      </c>
      <c r="F471">
        <v>20</v>
      </c>
      <c r="G471">
        <v>2</v>
      </c>
      <c r="H471">
        <v>40</v>
      </c>
      <c r="I471" t="s">
        <v>15</v>
      </c>
      <c r="J471" t="s">
        <v>12</v>
      </c>
      <c r="K471" t="s">
        <v>20</v>
      </c>
      <c r="L471">
        <f t="shared" si="21"/>
        <v>2022</v>
      </c>
      <c r="M471" s="13">
        <f t="shared" si="22"/>
        <v>44805</v>
      </c>
      <c r="N471" t="str">
        <f t="shared" si="23"/>
        <v>Cash</v>
      </c>
      <c r="O471" t="str">
        <f>IF(Tabla22[[#This Row],[quantity]]&gt;=umbral_grande, "Grande", IF(Tabla22[[#This Row],[quantity]]&gt;=umbral_mediano,"Mediano", "Pequeño"))</f>
        <v>Pequeño</v>
      </c>
    </row>
    <row r="472" spans="2:15" x14ac:dyDescent="0.25">
      <c r="B472">
        <v>469</v>
      </c>
      <c r="C472" s="1">
        <v>44696</v>
      </c>
      <c r="D472" t="s">
        <v>25</v>
      </c>
      <c r="E472" t="s">
        <v>11</v>
      </c>
      <c r="F472">
        <v>60</v>
      </c>
      <c r="G472">
        <v>7</v>
      </c>
      <c r="H472">
        <v>420</v>
      </c>
      <c r="I472" t="s">
        <v>19</v>
      </c>
      <c r="J472" t="s">
        <v>22</v>
      </c>
      <c r="K472" t="s">
        <v>23</v>
      </c>
      <c r="L472">
        <f t="shared" si="21"/>
        <v>2022</v>
      </c>
      <c r="M472" s="13">
        <f t="shared" si="22"/>
        <v>44682</v>
      </c>
      <c r="N472" t="str">
        <f t="shared" si="23"/>
        <v>Online</v>
      </c>
      <c r="O472" t="str">
        <f>IF(Tabla22[[#This Row],[quantity]]&gt;=umbral_grande, "Grande", IF(Tabla22[[#This Row],[quantity]]&gt;=umbral_mediano,"Mediano", "Pequeño"))</f>
        <v>Mediano</v>
      </c>
    </row>
    <row r="473" spans="2:15" x14ac:dyDescent="0.25">
      <c r="B473">
        <v>470</v>
      </c>
      <c r="C473" s="1">
        <v>44833</v>
      </c>
      <c r="D473" t="s">
        <v>14</v>
      </c>
      <c r="E473" t="s">
        <v>11</v>
      </c>
      <c r="F473">
        <v>20</v>
      </c>
      <c r="G473">
        <v>8</v>
      </c>
      <c r="H473">
        <v>160</v>
      </c>
      <c r="I473" t="s">
        <v>15</v>
      </c>
      <c r="J473" t="s">
        <v>22</v>
      </c>
      <c r="K473" t="s">
        <v>23</v>
      </c>
      <c r="L473">
        <f t="shared" si="21"/>
        <v>2022</v>
      </c>
      <c r="M473" s="13">
        <f t="shared" si="22"/>
        <v>44805</v>
      </c>
      <c r="N473" t="str">
        <f t="shared" si="23"/>
        <v>Cash</v>
      </c>
      <c r="O473" t="str">
        <f>IF(Tabla22[[#This Row],[quantity]]&gt;=umbral_grande, "Grande", IF(Tabla22[[#This Row],[quantity]]&gt;=umbral_mediano,"Mediano", "Pequeño"))</f>
        <v>Mediano</v>
      </c>
    </row>
    <row r="474" spans="2:15" x14ac:dyDescent="0.25">
      <c r="B474">
        <v>471</v>
      </c>
      <c r="C474" s="1">
        <v>44970</v>
      </c>
      <c r="D474" t="s">
        <v>21</v>
      </c>
      <c r="E474" t="s">
        <v>11</v>
      </c>
      <c r="F474">
        <v>20</v>
      </c>
      <c r="G474">
        <v>7</v>
      </c>
      <c r="H474">
        <v>140</v>
      </c>
      <c r="I474" t="s">
        <v>15</v>
      </c>
      <c r="J474" t="s">
        <v>22</v>
      </c>
      <c r="K474" t="s">
        <v>16</v>
      </c>
      <c r="L474">
        <f t="shared" si="21"/>
        <v>2023</v>
      </c>
      <c r="M474" s="13">
        <f t="shared" si="22"/>
        <v>44958</v>
      </c>
      <c r="N474" t="str">
        <f t="shared" si="23"/>
        <v>Cash</v>
      </c>
      <c r="O474" t="str">
        <f>IF(Tabla22[[#This Row],[quantity]]&gt;=umbral_grande, "Grande", IF(Tabla22[[#This Row],[quantity]]&gt;=umbral_mediano,"Mediano", "Pequeño"))</f>
        <v>Mediano</v>
      </c>
    </row>
    <row r="475" spans="2:15" x14ac:dyDescent="0.25">
      <c r="B475">
        <v>472</v>
      </c>
      <c r="C475" s="1">
        <v>44937</v>
      </c>
      <c r="D475" t="s">
        <v>21</v>
      </c>
      <c r="E475" t="s">
        <v>11</v>
      </c>
      <c r="F475">
        <v>20</v>
      </c>
      <c r="G475">
        <v>10</v>
      </c>
      <c r="H475">
        <v>200</v>
      </c>
      <c r="J475" t="s">
        <v>12</v>
      </c>
      <c r="K475" t="s">
        <v>26</v>
      </c>
      <c r="L475">
        <f t="shared" si="21"/>
        <v>2023</v>
      </c>
      <c r="M475" s="13">
        <f t="shared" si="22"/>
        <v>44927</v>
      </c>
      <c r="N475" t="str">
        <f t="shared" si="23"/>
        <v>Sin registrar</v>
      </c>
      <c r="O475" t="str">
        <f>IF(Tabla22[[#This Row],[quantity]]&gt;=umbral_grande, "Grande", IF(Tabla22[[#This Row],[quantity]]&gt;=umbral_mediano,"Mediano", "Pequeño"))</f>
        <v>Mediano</v>
      </c>
    </row>
    <row r="476" spans="2:15" x14ac:dyDescent="0.25">
      <c r="B476">
        <v>473</v>
      </c>
      <c r="C476" s="1">
        <v>44808</v>
      </c>
      <c r="D476" t="s">
        <v>25</v>
      </c>
      <c r="E476" t="s">
        <v>11</v>
      </c>
      <c r="F476">
        <v>60</v>
      </c>
      <c r="G476">
        <v>5</v>
      </c>
      <c r="H476">
        <v>300</v>
      </c>
      <c r="I476" t="s">
        <v>15</v>
      </c>
      <c r="J476" t="s">
        <v>22</v>
      </c>
      <c r="K476" t="s">
        <v>20</v>
      </c>
      <c r="L476">
        <f t="shared" si="21"/>
        <v>2022</v>
      </c>
      <c r="M476" s="13">
        <f t="shared" si="22"/>
        <v>44805</v>
      </c>
      <c r="N476" t="str">
        <f t="shared" si="23"/>
        <v>Cash</v>
      </c>
      <c r="O476" t="str">
        <f>IF(Tabla22[[#This Row],[quantity]]&gt;=umbral_grande, "Grande", IF(Tabla22[[#This Row],[quantity]]&gt;=umbral_mediano,"Mediano", "Pequeño"))</f>
        <v>Pequeño</v>
      </c>
    </row>
    <row r="477" spans="2:15" x14ac:dyDescent="0.25">
      <c r="B477">
        <v>474</v>
      </c>
      <c r="C477" s="1">
        <v>44801</v>
      </c>
      <c r="D477" t="s">
        <v>17</v>
      </c>
      <c r="E477" t="s">
        <v>18</v>
      </c>
      <c r="F477">
        <v>25</v>
      </c>
      <c r="G477">
        <v>15</v>
      </c>
      <c r="H477">
        <v>375</v>
      </c>
      <c r="I477" t="s">
        <v>15</v>
      </c>
      <c r="J477" t="s">
        <v>22</v>
      </c>
      <c r="K477" t="s">
        <v>13</v>
      </c>
      <c r="L477">
        <f t="shared" si="21"/>
        <v>2022</v>
      </c>
      <c r="M477" s="13">
        <f t="shared" si="22"/>
        <v>44774</v>
      </c>
      <c r="N477" t="str">
        <f t="shared" si="23"/>
        <v>Cash</v>
      </c>
      <c r="O477" t="str">
        <f>IF(Tabla22[[#This Row],[quantity]]&gt;=umbral_grande, "Grande", IF(Tabla22[[#This Row],[quantity]]&gt;=umbral_mediano,"Mediano", "Pequeño"))</f>
        <v>Grande</v>
      </c>
    </row>
    <row r="478" spans="2:15" x14ac:dyDescent="0.25">
      <c r="B478">
        <v>475</v>
      </c>
      <c r="C478" s="1">
        <v>44981</v>
      </c>
      <c r="D478" t="s">
        <v>27</v>
      </c>
      <c r="E478" t="s">
        <v>18</v>
      </c>
      <c r="F478">
        <v>40</v>
      </c>
      <c r="G478">
        <v>6</v>
      </c>
      <c r="H478">
        <v>240</v>
      </c>
      <c r="I478" t="s">
        <v>15</v>
      </c>
      <c r="J478" t="s">
        <v>22</v>
      </c>
      <c r="K478" t="s">
        <v>13</v>
      </c>
      <c r="L478">
        <f t="shared" si="21"/>
        <v>2023</v>
      </c>
      <c r="M478" s="13">
        <f t="shared" si="22"/>
        <v>44958</v>
      </c>
      <c r="N478" t="str">
        <f t="shared" si="23"/>
        <v>Cash</v>
      </c>
      <c r="O478" t="str">
        <f>IF(Tabla22[[#This Row],[quantity]]&gt;=umbral_grande, "Grande", IF(Tabla22[[#This Row],[quantity]]&gt;=umbral_mediano,"Mediano", "Pequeño"))</f>
        <v>Mediano</v>
      </c>
    </row>
    <row r="479" spans="2:15" x14ac:dyDescent="0.25">
      <c r="B479">
        <v>476</v>
      </c>
      <c r="C479" s="1">
        <v>44959</v>
      </c>
      <c r="D479" t="s">
        <v>10</v>
      </c>
      <c r="E479" t="s">
        <v>11</v>
      </c>
      <c r="F479">
        <v>20</v>
      </c>
      <c r="G479">
        <v>10</v>
      </c>
      <c r="H479">
        <v>200</v>
      </c>
      <c r="I479" t="s">
        <v>15</v>
      </c>
      <c r="J479" t="s">
        <v>12</v>
      </c>
      <c r="K479" t="s">
        <v>23</v>
      </c>
      <c r="L479">
        <f t="shared" si="21"/>
        <v>2023</v>
      </c>
      <c r="M479" s="13">
        <f t="shared" si="22"/>
        <v>44958</v>
      </c>
      <c r="N479" t="str">
        <f t="shared" si="23"/>
        <v>Cash</v>
      </c>
      <c r="O479" t="str">
        <f>IF(Tabla22[[#This Row],[quantity]]&gt;=umbral_grande, "Grande", IF(Tabla22[[#This Row],[quantity]]&gt;=umbral_mediano,"Mediano", "Pequeño"))</f>
        <v>Mediano</v>
      </c>
    </row>
    <row r="480" spans="2:15" x14ac:dyDescent="0.25">
      <c r="B480">
        <v>477</v>
      </c>
      <c r="C480" s="1">
        <v>44970</v>
      </c>
      <c r="D480" t="s">
        <v>25</v>
      </c>
      <c r="E480" t="s">
        <v>11</v>
      </c>
      <c r="F480">
        <v>60</v>
      </c>
      <c r="G480">
        <v>15</v>
      </c>
      <c r="H480">
        <v>900</v>
      </c>
      <c r="I480" t="s">
        <v>15</v>
      </c>
      <c r="J480" t="s">
        <v>22</v>
      </c>
      <c r="K480" t="s">
        <v>26</v>
      </c>
      <c r="L480">
        <f t="shared" si="21"/>
        <v>2023</v>
      </c>
      <c r="M480" s="13">
        <f t="shared" si="22"/>
        <v>44958</v>
      </c>
      <c r="N480" t="str">
        <f t="shared" si="23"/>
        <v>Cash</v>
      </c>
      <c r="O480" t="str">
        <f>IF(Tabla22[[#This Row],[quantity]]&gt;=umbral_grande, "Grande", IF(Tabla22[[#This Row],[quantity]]&gt;=umbral_mediano,"Mediano", "Pequeño"))</f>
        <v>Grande</v>
      </c>
    </row>
    <row r="481" spans="2:15" x14ac:dyDescent="0.25">
      <c r="B481">
        <v>478</v>
      </c>
      <c r="C481" s="1">
        <v>44922</v>
      </c>
      <c r="D481" t="s">
        <v>17</v>
      </c>
      <c r="E481" t="s">
        <v>18</v>
      </c>
      <c r="F481">
        <v>25</v>
      </c>
      <c r="G481">
        <v>9</v>
      </c>
      <c r="H481">
        <v>225</v>
      </c>
      <c r="I481" t="s">
        <v>15</v>
      </c>
      <c r="J481" t="s">
        <v>22</v>
      </c>
      <c r="K481" t="s">
        <v>16</v>
      </c>
      <c r="L481">
        <f t="shared" si="21"/>
        <v>2022</v>
      </c>
      <c r="M481" s="13">
        <f t="shared" si="22"/>
        <v>44896</v>
      </c>
      <c r="N481" t="str">
        <f t="shared" si="23"/>
        <v>Cash</v>
      </c>
      <c r="O481" t="str">
        <f>IF(Tabla22[[#This Row],[quantity]]&gt;=umbral_grande, "Grande", IF(Tabla22[[#This Row],[quantity]]&gt;=umbral_mediano,"Mediano", "Pequeño"))</f>
        <v>Mediano</v>
      </c>
    </row>
    <row r="482" spans="2:15" x14ac:dyDescent="0.25">
      <c r="B482">
        <v>479</v>
      </c>
      <c r="C482" s="1">
        <v>44970</v>
      </c>
      <c r="D482" t="s">
        <v>25</v>
      </c>
      <c r="E482" t="s">
        <v>11</v>
      </c>
      <c r="F482">
        <v>60</v>
      </c>
      <c r="G482">
        <v>11</v>
      </c>
      <c r="H482">
        <v>660</v>
      </c>
      <c r="I482" t="s">
        <v>15</v>
      </c>
      <c r="J482" t="s">
        <v>22</v>
      </c>
      <c r="K482" t="s">
        <v>16</v>
      </c>
      <c r="L482">
        <f t="shared" si="21"/>
        <v>2023</v>
      </c>
      <c r="M482" s="13">
        <f t="shared" si="22"/>
        <v>44958</v>
      </c>
      <c r="N482" t="str">
        <f t="shared" si="23"/>
        <v>Cash</v>
      </c>
      <c r="O482" t="str">
        <f>IF(Tabla22[[#This Row],[quantity]]&gt;=umbral_grande, "Grande", IF(Tabla22[[#This Row],[quantity]]&gt;=umbral_mediano,"Mediano", "Pequeño"))</f>
        <v>Grande</v>
      </c>
    </row>
    <row r="483" spans="2:15" x14ac:dyDescent="0.25">
      <c r="B483">
        <v>480</v>
      </c>
      <c r="C483" s="1">
        <v>44836</v>
      </c>
      <c r="D483" t="s">
        <v>14</v>
      </c>
      <c r="E483" t="s">
        <v>11</v>
      </c>
      <c r="F483">
        <v>20</v>
      </c>
      <c r="G483">
        <v>12</v>
      </c>
      <c r="H483">
        <v>240</v>
      </c>
      <c r="I483" t="s">
        <v>15</v>
      </c>
      <c r="J483" t="s">
        <v>12</v>
      </c>
      <c r="K483" t="s">
        <v>20</v>
      </c>
      <c r="L483">
        <f t="shared" si="21"/>
        <v>2022</v>
      </c>
      <c r="M483" s="13">
        <f t="shared" si="22"/>
        <v>44835</v>
      </c>
      <c r="N483" t="str">
        <f t="shared" si="23"/>
        <v>Cash</v>
      </c>
      <c r="O483" t="str">
        <f>IF(Tabla22[[#This Row],[quantity]]&gt;=umbral_grande, "Grande", IF(Tabla22[[#This Row],[quantity]]&gt;=umbral_mediano,"Mediano", "Pequeño"))</f>
        <v>Grande</v>
      </c>
    </row>
    <row r="484" spans="2:15" x14ac:dyDescent="0.25">
      <c r="B484">
        <v>481</v>
      </c>
      <c r="C484" s="1">
        <v>44863</v>
      </c>
      <c r="D484" t="s">
        <v>17</v>
      </c>
      <c r="E484" t="s">
        <v>18</v>
      </c>
      <c r="F484">
        <v>25</v>
      </c>
      <c r="G484">
        <v>4</v>
      </c>
      <c r="H484">
        <v>100</v>
      </c>
      <c r="I484" t="s">
        <v>15</v>
      </c>
      <c r="J484" t="s">
        <v>12</v>
      </c>
      <c r="K484" t="s">
        <v>20</v>
      </c>
      <c r="L484">
        <f t="shared" si="21"/>
        <v>2022</v>
      </c>
      <c r="M484" s="13">
        <f t="shared" si="22"/>
        <v>44835</v>
      </c>
      <c r="N484" t="str">
        <f t="shared" si="23"/>
        <v>Cash</v>
      </c>
      <c r="O484" t="str">
        <f>IF(Tabla22[[#This Row],[quantity]]&gt;=umbral_grande, "Grande", IF(Tabla22[[#This Row],[quantity]]&gt;=umbral_mediano,"Mediano", "Pequeño"))</f>
        <v>Pequeño</v>
      </c>
    </row>
    <row r="485" spans="2:15" x14ac:dyDescent="0.25">
      <c r="B485">
        <v>482</v>
      </c>
      <c r="C485" s="1">
        <v>44957</v>
      </c>
      <c r="D485" t="s">
        <v>10</v>
      </c>
      <c r="E485" t="s">
        <v>11</v>
      </c>
      <c r="F485">
        <v>20</v>
      </c>
      <c r="G485">
        <v>1</v>
      </c>
      <c r="H485">
        <v>20</v>
      </c>
      <c r="I485" t="s">
        <v>19</v>
      </c>
      <c r="J485" t="s">
        <v>12</v>
      </c>
      <c r="K485" t="s">
        <v>16</v>
      </c>
      <c r="L485">
        <f t="shared" si="21"/>
        <v>2023</v>
      </c>
      <c r="M485" s="13">
        <f t="shared" si="22"/>
        <v>44927</v>
      </c>
      <c r="N485" t="str">
        <f t="shared" si="23"/>
        <v>Online</v>
      </c>
      <c r="O485" t="str">
        <f>IF(Tabla22[[#This Row],[quantity]]&gt;=umbral_grande, "Grande", IF(Tabla22[[#This Row],[quantity]]&gt;=umbral_mediano,"Mediano", "Pequeño"))</f>
        <v>Pequeño</v>
      </c>
    </row>
    <row r="486" spans="2:15" x14ac:dyDescent="0.25">
      <c r="B486">
        <v>483</v>
      </c>
      <c r="C486" s="1">
        <v>44678</v>
      </c>
      <c r="D486" t="s">
        <v>21</v>
      </c>
      <c r="E486" t="s">
        <v>11</v>
      </c>
      <c r="F486">
        <v>20</v>
      </c>
      <c r="G486">
        <v>9</v>
      </c>
      <c r="H486">
        <v>180</v>
      </c>
      <c r="I486" t="s">
        <v>15</v>
      </c>
      <c r="J486" t="s">
        <v>22</v>
      </c>
      <c r="K486" t="s">
        <v>23</v>
      </c>
      <c r="L486">
        <f t="shared" si="21"/>
        <v>2022</v>
      </c>
      <c r="M486" s="13">
        <f t="shared" si="22"/>
        <v>44652</v>
      </c>
      <c r="N486" t="str">
        <f t="shared" si="23"/>
        <v>Cash</v>
      </c>
      <c r="O486" t="str">
        <f>IF(Tabla22[[#This Row],[quantity]]&gt;=umbral_grande, "Grande", IF(Tabla22[[#This Row],[quantity]]&gt;=umbral_mediano,"Mediano", "Pequeño"))</f>
        <v>Mediano</v>
      </c>
    </row>
    <row r="487" spans="2:15" x14ac:dyDescent="0.25">
      <c r="B487">
        <v>484</v>
      </c>
      <c r="C487" s="1">
        <v>45006</v>
      </c>
      <c r="D487" t="s">
        <v>27</v>
      </c>
      <c r="E487" t="s">
        <v>18</v>
      </c>
      <c r="F487">
        <v>40</v>
      </c>
      <c r="G487">
        <v>5</v>
      </c>
      <c r="H487">
        <v>200</v>
      </c>
      <c r="I487" t="s">
        <v>15</v>
      </c>
      <c r="J487" t="s">
        <v>22</v>
      </c>
      <c r="K487" t="s">
        <v>16</v>
      </c>
      <c r="L487">
        <f t="shared" si="21"/>
        <v>2023</v>
      </c>
      <c r="M487" s="13">
        <f t="shared" si="22"/>
        <v>44986</v>
      </c>
      <c r="N487" t="str">
        <f t="shared" si="23"/>
        <v>Cash</v>
      </c>
      <c r="O487" t="str">
        <f>IF(Tabla22[[#This Row],[quantity]]&gt;=umbral_grande, "Grande", IF(Tabla22[[#This Row],[quantity]]&gt;=umbral_mediano,"Mediano", "Pequeño"))</f>
        <v>Pequeño</v>
      </c>
    </row>
    <row r="488" spans="2:15" x14ac:dyDescent="0.25">
      <c r="B488">
        <v>485</v>
      </c>
      <c r="C488" s="1">
        <v>44983</v>
      </c>
      <c r="D488" t="s">
        <v>10</v>
      </c>
      <c r="E488" t="s">
        <v>11</v>
      </c>
      <c r="F488">
        <v>20</v>
      </c>
      <c r="G488">
        <v>6</v>
      </c>
      <c r="H488">
        <v>120</v>
      </c>
      <c r="I488" t="s">
        <v>15</v>
      </c>
      <c r="J488" t="s">
        <v>22</v>
      </c>
      <c r="K488" t="s">
        <v>26</v>
      </c>
      <c r="L488">
        <f t="shared" si="21"/>
        <v>2023</v>
      </c>
      <c r="M488" s="13">
        <f t="shared" si="22"/>
        <v>44958</v>
      </c>
      <c r="N488" t="str">
        <f t="shared" si="23"/>
        <v>Cash</v>
      </c>
      <c r="O488" t="str">
        <f>IF(Tabla22[[#This Row],[quantity]]&gt;=umbral_grande, "Grande", IF(Tabla22[[#This Row],[quantity]]&gt;=umbral_mediano,"Mediano", "Pequeño"))</f>
        <v>Mediano</v>
      </c>
    </row>
    <row r="489" spans="2:15" x14ac:dyDescent="0.25">
      <c r="B489">
        <v>486</v>
      </c>
      <c r="C489" s="1">
        <v>44971</v>
      </c>
      <c r="D489" t="s">
        <v>14</v>
      </c>
      <c r="E489" t="s">
        <v>11</v>
      </c>
      <c r="F489">
        <v>20</v>
      </c>
      <c r="G489">
        <v>6</v>
      </c>
      <c r="H489">
        <v>120</v>
      </c>
      <c r="I489" t="s">
        <v>15</v>
      </c>
      <c r="J489" t="s">
        <v>22</v>
      </c>
      <c r="K489" t="s">
        <v>26</v>
      </c>
      <c r="L489">
        <f t="shared" si="21"/>
        <v>2023</v>
      </c>
      <c r="M489" s="13">
        <f t="shared" si="22"/>
        <v>44958</v>
      </c>
      <c r="N489" t="str">
        <f t="shared" si="23"/>
        <v>Cash</v>
      </c>
      <c r="O489" t="str">
        <f>IF(Tabla22[[#This Row],[quantity]]&gt;=umbral_grande, "Grande", IF(Tabla22[[#This Row],[quantity]]&gt;=umbral_mediano,"Mediano", "Pequeño"))</f>
        <v>Mediano</v>
      </c>
    </row>
    <row r="490" spans="2:15" x14ac:dyDescent="0.25">
      <c r="B490">
        <v>487</v>
      </c>
      <c r="C490" s="1">
        <v>44708</v>
      </c>
      <c r="D490" t="s">
        <v>25</v>
      </c>
      <c r="E490" t="s">
        <v>11</v>
      </c>
      <c r="F490">
        <v>60</v>
      </c>
      <c r="G490">
        <v>9</v>
      </c>
      <c r="H490">
        <v>540</v>
      </c>
      <c r="I490" t="s">
        <v>15</v>
      </c>
      <c r="J490" t="s">
        <v>22</v>
      </c>
      <c r="K490" t="s">
        <v>26</v>
      </c>
      <c r="L490">
        <f t="shared" si="21"/>
        <v>2022</v>
      </c>
      <c r="M490" s="13">
        <f t="shared" si="22"/>
        <v>44682</v>
      </c>
      <c r="N490" t="str">
        <f t="shared" si="23"/>
        <v>Cash</v>
      </c>
      <c r="O490" t="str">
        <f>IF(Tabla22[[#This Row],[quantity]]&gt;=umbral_grande, "Grande", IF(Tabla22[[#This Row],[quantity]]&gt;=umbral_mediano,"Mediano", "Pequeño"))</f>
        <v>Mediano</v>
      </c>
    </row>
    <row r="491" spans="2:15" x14ac:dyDescent="0.25">
      <c r="B491">
        <v>488</v>
      </c>
      <c r="C491" s="1">
        <v>44825</v>
      </c>
      <c r="D491" t="s">
        <v>27</v>
      </c>
      <c r="E491" t="s">
        <v>18</v>
      </c>
      <c r="F491">
        <v>40</v>
      </c>
      <c r="G491">
        <v>10</v>
      </c>
      <c r="H491">
        <v>400</v>
      </c>
      <c r="I491" t="s">
        <v>15</v>
      </c>
      <c r="J491" t="s">
        <v>12</v>
      </c>
      <c r="K491" t="s">
        <v>26</v>
      </c>
      <c r="L491">
        <f t="shared" si="21"/>
        <v>2022</v>
      </c>
      <c r="M491" s="13">
        <f t="shared" si="22"/>
        <v>44805</v>
      </c>
      <c r="N491" t="str">
        <f t="shared" si="23"/>
        <v>Cash</v>
      </c>
      <c r="O491" t="str">
        <f>IF(Tabla22[[#This Row],[quantity]]&gt;=umbral_grande, "Grande", IF(Tabla22[[#This Row],[quantity]]&gt;=umbral_mediano,"Mediano", "Pequeño"))</f>
        <v>Mediano</v>
      </c>
    </row>
    <row r="492" spans="2:15" x14ac:dyDescent="0.25">
      <c r="B492">
        <v>489</v>
      </c>
      <c r="C492" s="1">
        <v>44960</v>
      </c>
      <c r="D492" t="s">
        <v>24</v>
      </c>
      <c r="E492" t="s">
        <v>11</v>
      </c>
      <c r="F492">
        <v>50</v>
      </c>
      <c r="G492">
        <v>13</v>
      </c>
      <c r="H492">
        <v>650</v>
      </c>
      <c r="I492" t="s">
        <v>19</v>
      </c>
      <c r="J492" t="s">
        <v>22</v>
      </c>
      <c r="K492" t="s">
        <v>20</v>
      </c>
      <c r="L492">
        <f t="shared" si="21"/>
        <v>2023</v>
      </c>
      <c r="M492" s="13">
        <f t="shared" si="22"/>
        <v>44958</v>
      </c>
      <c r="N492" t="str">
        <f t="shared" si="23"/>
        <v>Online</v>
      </c>
      <c r="O492" t="str">
        <f>IF(Tabla22[[#This Row],[quantity]]&gt;=umbral_grande, "Grande", IF(Tabla22[[#This Row],[quantity]]&gt;=umbral_mediano,"Mediano", "Pequeño"))</f>
        <v>Grande</v>
      </c>
    </row>
    <row r="493" spans="2:15" x14ac:dyDescent="0.25">
      <c r="B493">
        <v>490</v>
      </c>
      <c r="C493" s="1">
        <v>44921</v>
      </c>
      <c r="D493" t="s">
        <v>27</v>
      </c>
      <c r="E493" t="s">
        <v>18</v>
      </c>
      <c r="F493">
        <v>40</v>
      </c>
      <c r="G493">
        <v>8</v>
      </c>
      <c r="H493">
        <v>320</v>
      </c>
      <c r="I493" t="s">
        <v>15</v>
      </c>
      <c r="J493" t="s">
        <v>12</v>
      </c>
      <c r="K493" t="s">
        <v>23</v>
      </c>
      <c r="L493">
        <f t="shared" si="21"/>
        <v>2022</v>
      </c>
      <c r="M493" s="13">
        <f t="shared" si="22"/>
        <v>44896</v>
      </c>
      <c r="N493" t="str">
        <f t="shared" si="23"/>
        <v>Cash</v>
      </c>
      <c r="O493" t="str">
        <f>IF(Tabla22[[#This Row],[quantity]]&gt;=umbral_grande, "Grande", IF(Tabla22[[#This Row],[quantity]]&gt;=umbral_mediano,"Mediano", "Pequeño"))</f>
        <v>Mediano</v>
      </c>
    </row>
    <row r="494" spans="2:15" x14ac:dyDescent="0.25">
      <c r="B494">
        <v>491</v>
      </c>
      <c r="C494" s="1">
        <v>44712</v>
      </c>
      <c r="D494" t="s">
        <v>14</v>
      </c>
      <c r="E494" t="s">
        <v>11</v>
      </c>
      <c r="F494">
        <v>20</v>
      </c>
      <c r="G494">
        <v>2</v>
      </c>
      <c r="H494">
        <v>40</v>
      </c>
      <c r="I494" t="s">
        <v>19</v>
      </c>
      <c r="J494" t="s">
        <v>22</v>
      </c>
      <c r="K494" t="s">
        <v>26</v>
      </c>
      <c r="L494">
        <f t="shared" si="21"/>
        <v>2022</v>
      </c>
      <c r="M494" s="13">
        <f t="shared" si="22"/>
        <v>44682</v>
      </c>
      <c r="N494" t="str">
        <f t="shared" si="23"/>
        <v>Online</v>
      </c>
      <c r="O494" t="str">
        <f>IF(Tabla22[[#This Row],[quantity]]&gt;=umbral_grande, "Grande", IF(Tabla22[[#This Row],[quantity]]&gt;=umbral_mediano,"Mediano", "Pequeño"))</f>
        <v>Pequeño</v>
      </c>
    </row>
    <row r="495" spans="2:15" x14ac:dyDescent="0.25">
      <c r="B495">
        <v>492</v>
      </c>
      <c r="C495" s="1">
        <v>44753</v>
      </c>
      <c r="D495" t="s">
        <v>25</v>
      </c>
      <c r="E495" t="s">
        <v>11</v>
      </c>
      <c r="F495">
        <v>60</v>
      </c>
      <c r="G495">
        <v>15</v>
      </c>
      <c r="H495">
        <v>900</v>
      </c>
      <c r="I495" t="s">
        <v>15</v>
      </c>
      <c r="J495" t="s">
        <v>12</v>
      </c>
      <c r="K495" t="s">
        <v>16</v>
      </c>
      <c r="L495">
        <f t="shared" si="21"/>
        <v>2022</v>
      </c>
      <c r="M495" s="13">
        <f t="shared" si="22"/>
        <v>44743</v>
      </c>
      <c r="N495" t="str">
        <f t="shared" si="23"/>
        <v>Cash</v>
      </c>
      <c r="O495" t="str">
        <f>IF(Tabla22[[#This Row],[quantity]]&gt;=umbral_grande, "Grande", IF(Tabla22[[#This Row],[quantity]]&gt;=umbral_mediano,"Mediano", "Pequeño"))</f>
        <v>Grande</v>
      </c>
    </row>
    <row r="496" spans="2:15" x14ac:dyDescent="0.25">
      <c r="B496">
        <v>493</v>
      </c>
      <c r="C496" s="1">
        <v>44836</v>
      </c>
      <c r="D496" t="s">
        <v>27</v>
      </c>
      <c r="E496" t="s">
        <v>18</v>
      </c>
      <c r="F496">
        <v>40</v>
      </c>
      <c r="G496">
        <v>2</v>
      </c>
      <c r="H496">
        <v>80</v>
      </c>
      <c r="I496" t="s">
        <v>19</v>
      </c>
      <c r="J496" t="s">
        <v>12</v>
      </c>
      <c r="K496" t="s">
        <v>23</v>
      </c>
      <c r="L496">
        <f t="shared" si="21"/>
        <v>2022</v>
      </c>
      <c r="M496" s="13">
        <f t="shared" si="22"/>
        <v>44835</v>
      </c>
      <c r="N496" t="str">
        <f t="shared" si="23"/>
        <v>Online</v>
      </c>
      <c r="O496" t="str">
        <f>IF(Tabla22[[#This Row],[quantity]]&gt;=umbral_grande, "Grande", IF(Tabla22[[#This Row],[quantity]]&gt;=umbral_mediano,"Mediano", "Pequeño"))</f>
        <v>Pequeño</v>
      </c>
    </row>
    <row r="497" spans="2:15" x14ac:dyDescent="0.25">
      <c r="B497">
        <v>494</v>
      </c>
      <c r="C497" s="1">
        <v>44940</v>
      </c>
      <c r="D497" t="s">
        <v>27</v>
      </c>
      <c r="E497" t="s">
        <v>18</v>
      </c>
      <c r="F497">
        <v>40</v>
      </c>
      <c r="G497">
        <v>10</v>
      </c>
      <c r="H497">
        <v>400</v>
      </c>
      <c r="I497" t="s">
        <v>15</v>
      </c>
      <c r="J497" t="s">
        <v>22</v>
      </c>
      <c r="K497" t="s">
        <v>13</v>
      </c>
      <c r="L497">
        <f t="shared" si="21"/>
        <v>2023</v>
      </c>
      <c r="M497" s="13">
        <f t="shared" si="22"/>
        <v>44927</v>
      </c>
      <c r="N497" t="str">
        <f t="shared" si="23"/>
        <v>Cash</v>
      </c>
      <c r="O497" t="str">
        <f>IF(Tabla22[[#This Row],[quantity]]&gt;=umbral_grande, "Grande", IF(Tabla22[[#This Row],[quantity]]&gt;=umbral_mediano,"Mediano", "Pequeño"))</f>
        <v>Mediano</v>
      </c>
    </row>
    <row r="498" spans="2:15" x14ac:dyDescent="0.25">
      <c r="B498">
        <v>495</v>
      </c>
      <c r="C498" s="1">
        <v>44854</v>
      </c>
      <c r="D498" t="s">
        <v>10</v>
      </c>
      <c r="E498" t="s">
        <v>11</v>
      </c>
      <c r="F498">
        <v>20</v>
      </c>
      <c r="G498">
        <v>13</v>
      </c>
      <c r="H498">
        <v>260</v>
      </c>
      <c r="I498" t="s">
        <v>19</v>
      </c>
      <c r="J498" t="s">
        <v>22</v>
      </c>
      <c r="K498" t="s">
        <v>26</v>
      </c>
      <c r="L498">
        <f t="shared" si="21"/>
        <v>2022</v>
      </c>
      <c r="M498" s="13">
        <f t="shared" si="22"/>
        <v>44835</v>
      </c>
      <c r="N498" t="str">
        <f t="shared" si="23"/>
        <v>Online</v>
      </c>
      <c r="O498" t="str">
        <f>IF(Tabla22[[#This Row],[quantity]]&gt;=umbral_grande, "Grande", IF(Tabla22[[#This Row],[quantity]]&gt;=umbral_mediano,"Mediano", "Pequeño"))</f>
        <v>Grande</v>
      </c>
    </row>
    <row r="499" spans="2:15" x14ac:dyDescent="0.25">
      <c r="B499">
        <v>496</v>
      </c>
      <c r="C499" s="1">
        <v>44872</v>
      </c>
      <c r="D499" t="s">
        <v>27</v>
      </c>
      <c r="E499" t="s">
        <v>18</v>
      </c>
      <c r="F499">
        <v>40</v>
      </c>
      <c r="G499">
        <v>10</v>
      </c>
      <c r="H499">
        <v>400</v>
      </c>
      <c r="I499" t="s">
        <v>19</v>
      </c>
      <c r="J499" t="s">
        <v>22</v>
      </c>
      <c r="K499" t="s">
        <v>13</v>
      </c>
      <c r="L499">
        <f t="shared" si="21"/>
        <v>2022</v>
      </c>
      <c r="M499" s="13">
        <f t="shared" si="22"/>
        <v>44866</v>
      </c>
      <c r="N499" t="str">
        <f t="shared" si="23"/>
        <v>Online</v>
      </c>
      <c r="O499" t="str">
        <f>IF(Tabla22[[#This Row],[quantity]]&gt;=umbral_grande, "Grande", IF(Tabla22[[#This Row],[quantity]]&gt;=umbral_mediano,"Mediano", "Pequeño"))</f>
        <v>Mediano</v>
      </c>
    </row>
    <row r="500" spans="2:15" x14ac:dyDescent="0.25">
      <c r="B500">
        <v>497</v>
      </c>
      <c r="C500" s="1">
        <v>44951</v>
      </c>
      <c r="D500" t="s">
        <v>25</v>
      </c>
      <c r="E500" t="s">
        <v>11</v>
      </c>
      <c r="F500">
        <v>60</v>
      </c>
      <c r="G500">
        <v>7</v>
      </c>
      <c r="H500">
        <v>420</v>
      </c>
      <c r="I500" t="s">
        <v>15</v>
      </c>
      <c r="J500" t="s">
        <v>12</v>
      </c>
      <c r="K500" t="s">
        <v>26</v>
      </c>
      <c r="L500">
        <f t="shared" si="21"/>
        <v>2023</v>
      </c>
      <c r="M500" s="13">
        <f t="shared" si="22"/>
        <v>44927</v>
      </c>
      <c r="N500" t="str">
        <f t="shared" si="23"/>
        <v>Cash</v>
      </c>
      <c r="O500" t="str">
        <f>IF(Tabla22[[#This Row],[quantity]]&gt;=umbral_grande, "Grande", IF(Tabla22[[#This Row],[quantity]]&gt;=umbral_mediano,"Mediano", "Pequeño"))</f>
        <v>Mediano</v>
      </c>
    </row>
    <row r="501" spans="2:15" x14ac:dyDescent="0.25">
      <c r="B501">
        <v>498</v>
      </c>
      <c r="C501" s="1">
        <v>44728</v>
      </c>
      <c r="D501" t="s">
        <v>24</v>
      </c>
      <c r="E501" t="s">
        <v>11</v>
      </c>
      <c r="F501">
        <v>50</v>
      </c>
      <c r="G501">
        <v>1</v>
      </c>
      <c r="H501">
        <v>50</v>
      </c>
      <c r="I501" t="s">
        <v>15</v>
      </c>
      <c r="J501" t="s">
        <v>12</v>
      </c>
      <c r="K501" t="s">
        <v>26</v>
      </c>
      <c r="L501">
        <f t="shared" si="21"/>
        <v>2022</v>
      </c>
      <c r="M501" s="13">
        <f t="shared" si="22"/>
        <v>44713</v>
      </c>
      <c r="N501" t="str">
        <f t="shared" si="23"/>
        <v>Cash</v>
      </c>
      <c r="O501" t="str">
        <f>IF(Tabla22[[#This Row],[quantity]]&gt;=umbral_grande, "Grande", IF(Tabla22[[#This Row],[quantity]]&gt;=umbral_mediano,"Mediano", "Pequeño"))</f>
        <v>Pequeño</v>
      </c>
    </row>
    <row r="502" spans="2:15" x14ac:dyDescent="0.25">
      <c r="B502">
        <v>499</v>
      </c>
      <c r="C502" s="1">
        <v>44769</v>
      </c>
      <c r="D502" t="s">
        <v>25</v>
      </c>
      <c r="E502" t="s">
        <v>11</v>
      </c>
      <c r="F502">
        <v>60</v>
      </c>
      <c r="G502">
        <v>8</v>
      </c>
      <c r="H502">
        <v>480</v>
      </c>
      <c r="I502" t="s">
        <v>19</v>
      </c>
      <c r="J502" t="s">
        <v>22</v>
      </c>
      <c r="K502" t="s">
        <v>20</v>
      </c>
      <c r="L502">
        <f t="shared" si="21"/>
        <v>2022</v>
      </c>
      <c r="M502" s="13">
        <f t="shared" si="22"/>
        <v>44743</v>
      </c>
      <c r="N502" t="str">
        <f t="shared" si="23"/>
        <v>Online</v>
      </c>
      <c r="O502" t="str">
        <f>IF(Tabla22[[#This Row],[quantity]]&gt;=umbral_grande, "Grande", IF(Tabla22[[#This Row],[quantity]]&gt;=umbral_mediano,"Mediano", "Pequeño"))</f>
        <v>Mediano</v>
      </c>
    </row>
    <row r="503" spans="2:15" x14ac:dyDescent="0.25">
      <c r="B503">
        <v>500</v>
      </c>
      <c r="C503" s="1">
        <v>44659</v>
      </c>
      <c r="D503" t="s">
        <v>14</v>
      </c>
      <c r="E503" t="s">
        <v>11</v>
      </c>
      <c r="F503">
        <v>20</v>
      </c>
      <c r="G503">
        <v>4</v>
      </c>
      <c r="H503">
        <v>80</v>
      </c>
      <c r="I503" t="s">
        <v>19</v>
      </c>
      <c r="J503" t="s">
        <v>22</v>
      </c>
      <c r="K503" t="s">
        <v>26</v>
      </c>
      <c r="L503">
        <f t="shared" si="21"/>
        <v>2022</v>
      </c>
      <c r="M503" s="13">
        <f t="shared" si="22"/>
        <v>44652</v>
      </c>
      <c r="N503" t="str">
        <f t="shared" si="23"/>
        <v>Online</v>
      </c>
      <c r="O503" t="str">
        <f>IF(Tabla22[[#This Row],[quantity]]&gt;=umbral_grande, "Grande", IF(Tabla22[[#This Row],[quantity]]&gt;=umbral_mediano,"Mediano", "Pequeño"))</f>
        <v>Pequeño</v>
      </c>
    </row>
    <row r="504" spans="2:15" x14ac:dyDescent="0.25">
      <c r="B504">
        <v>501</v>
      </c>
      <c r="C504" s="1">
        <v>44782</v>
      </c>
      <c r="D504" t="s">
        <v>17</v>
      </c>
      <c r="E504" t="s">
        <v>18</v>
      </c>
      <c r="F504">
        <v>25</v>
      </c>
      <c r="G504">
        <v>14</v>
      </c>
      <c r="H504">
        <v>350</v>
      </c>
      <c r="I504" t="s">
        <v>19</v>
      </c>
      <c r="J504" t="s">
        <v>22</v>
      </c>
      <c r="K504" t="s">
        <v>16</v>
      </c>
      <c r="L504">
        <f t="shared" si="21"/>
        <v>2022</v>
      </c>
      <c r="M504" s="13">
        <f t="shared" si="22"/>
        <v>44774</v>
      </c>
      <c r="N504" t="str">
        <f t="shared" si="23"/>
        <v>Online</v>
      </c>
      <c r="O504" t="str">
        <f>IF(Tabla22[[#This Row],[quantity]]&gt;=umbral_grande, "Grande", IF(Tabla22[[#This Row],[quantity]]&gt;=umbral_mediano,"Mediano", "Pequeño"))</f>
        <v>Grande</v>
      </c>
    </row>
    <row r="505" spans="2:15" x14ac:dyDescent="0.25">
      <c r="B505">
        <v>502</v>
      </c>
      <c r="C505" s="1">
        <v>44930</v>
      </c>
      <c r="D505" t="s">
        <v>21</v>
      </c>
      <c r="E505" t="s">
        <v>11</v>
      </c>
      <c r="F505">
        <v>20</v>
      </c>
      <c r="G505">
        <v>13</v>
      </c>
      <c r="H505">
        <v>260</v>
      </c>
      <c r="I505" t="s">
        <v>19</v>
      </c>
      <c r="J505" t="s">
        <v>12</v>
      </c>
      <c r="K505" t="s">
        <v>13</v>
      </c>
      <c r="L505">
        <f t="shared" si="21"/>
        <v>2023</v>
      </c>
      <c r="M505" s="13">
        <f t="shared" si="22"/>
        <v>44927</v>
      </c>
      <c r="N505" t="str">
        <f t="shared" si="23"/>
        <v>Online</v>
      </c>
      <c r="O505" t="str">
        <f>IF(Tabla22[[#This Row],[quantity]]&gt;=umbral_grande, "Grande", IF(Tabla22[[#This Row],[quantity]]&gt;=umbral_mediano,"Mediano", "Pequeño"))</f>
        <v>Grande</v>
      </c>
    </row>
    <row r="506" spans="2:15" x14ac:dyDescent="0.25">
      <c r="B506">
        <v>503</v>
      </c>
      <c r="C506" s="1">
        <v>44869</v>
      </c>
      <c r="D506" t="s">
        <v>10</v>
      </c>
      <c r="E506" t="s">
        <v>11</v>
      </c>
      <c r="F506">
        <v>20</v>
      </c>
      <c r="G506">
        <v>13</v>
      </c>
      <c r="H506">
        <v>260</v>
      </c>
      <c r="I506" t="s">
        <v>15</v>
      </c>
      <c r="J506" t="s">
        <v>22</v>
      </c>
      <c r="K506" t="s">
        <v>23</v>
      </c>
      <c r="L506">
        <f t="shared" si="21"/>
        <v>2022</v>
      </c>
      <c r="M506" s="13">
        <f t="shared" si="22"/>
        <v>44866</v>
      </c>
      <c r="N506" t="str">
        <f t="shared" si="23"/>
        <v>Cash</v>
      </c>
      <c r="O506" t="str">
        <f>IF(Tabla22[[#This Row],[quantity]]&gt;=umbral_grande, "Grande", IF(Tabla22[[#This Row],[quantity]]&gt;=umbral_mediano,"Mediano", "Pequeño"))</f>
        <v>Grande</v>
      </c>
    </row>
    <row r="507" spans="2:15" x14ac:dyDescent="0.25">
      <c r="B507">
        <v>504</v>
      </c>
      <c r="C507" s="1">
        <v>44904</v>
      </c>
      <c r="D507" t="s">
        <v>27</v>
      </c>
      <c r="E507" t="s">
        <v>18</v>
      </c>
      <c r="F507">
        <v>40</v>
      </c>
      <c r="G507">
        <v>8</v>
      </c>
      <c r="H507">
        <v>320</v>
      </c>
      <c r="I507" t="s">
        <v>15</v>
      </c>
      <c r="J507" t="s">
        <v>12</v>
      </c>
      <c r="K507" t="s">
        <v>20</v>
      </c>
      <c r="L507">
        <f t="shared" si="21"/>
        <v>2022</v>
      </c>
      <c r="M507" s="13">
        <f t="shared" si="22"/>
        <v>44896</v>
      </c>
      <c r="N507" t="str">
        <f t="shared" si="23"/>
        <v>Cash</v>
      </c>
      <c r="O507" t="str">
        <f>IF(Tabla22[[#This Row],[quantity]]&gt;=umbral_grande, "Grande", IF(Tabla22[[#This Row],[quantity]]&gt;=umbral_mediano,"Mediano", "Pequeño"))</f>
        <v>Mediano</v>
      </c>
    </row>
    <row r="508" spans="2:15" x14ac:dyDescent="0.25">
      <c r="B508">
        <v>505</v>
      </c>
      <c r="C508" s="1">
        <v>44969</v>
      </c>
      <c r="D508" t="s">
        <v>24</v>
      </c>
      <c r="E508" t="s">
        <v>11</v>
      </c>
      <c r="F508">
        <v>50</v>
      </c>
      <c r="G508">
        <v>4</v>
      </c>
      <c r="H508">
        <v>200</v>
      </c>
      <c r="I508" t="s">
        <v>15</v>
      </c>
      <c r="J508" t="s">
        <v>12</v>
      </c>
      <c r="K508" t="s">
        <v>13</v>
      </c>
      <c r="L508">
        <f t="shared" si="21"/>
        <v>2023</v>
      </c>
      <c r="M508" s="13">
        <f t="shared" si="22"/>
        <v>44958</v>
      </c>
      <c r="N508" t="str">
        <f t="shared" si="23"/>
        <v>Cash</v>
      </c>
      <c r="O508" t="str">
        <f>IF(Tabla22[[#This Row],[quantity]]&gt;=umbral_grande, "Grande", IF(Tabla22[[#This Row],[quantity]]&gt;=umbral_mediano,"Mediano", "Pequeño"))</f>
        <v>Pequeño</v>
      </c>
    </row>
    <row r="509" spans="2:15" x14ac:dyDescent="0.25">
      <c r="B509">
        <v>506</v>
      </c>
      <c r="C509" s="1">
        <v>44921</v>
      </c>
      <c r="D509" t="s">
        <v>27</v>
      </c>
      <c r="E509" t="s">
        <v>18</v>
      </c>
      <c r="F509">
        <v>40</v>
      </c>
      <c r="G509">
        <v>12</v>
      </c>
      <c r="H509">
        <v>480</v>
      </c>
      <c r="I509" t="s">
        <v>15</v>
      </c>
      <c r="J509" t="s">
        <v>22</v>
      </c>
      <c r="K509" t="s">
        <v>26</v>
      </c>
      <c r="L509">
        <f t="shared" si="21"/>
        <v>2022</v>
      </c>
      <c r="M509" s="13">
        <f t="shared" si="22"/>
        <v>44896</v>
      </c>
      <c r="N509" t="str">
        <f t="shared" si="23"/>
        <v>Cash</v>
      </c>
      <c r="O509" t="str">
        <f>IF(Tabla22[[#This Row],[quantity]]&gt;=umbral_grande, "Grande", IF(Tabla22[[#This Row],[quantity]]&gt;=umbral_mediano,"Mediano", "Pequeño"))</f>
        <v>Grande</v>
      </c>
    </row>
    <row r="510" spans="2:15" x14ac:dyDescent="0.25">
      <c r="B510">
        <v>507</v>
      </c>
      <c r="C510" s="1">
        <v>44909</v>
      </c>
      <c r="D510" t="s">
        <v>10</v>
      </c>
      <c r="E510" t="s">
        <v>11</v>
      </c>
      <c r="F510">
        <v>20</v>
      </c>
      <c r="G510">
        <v>14</v>
      </c>
      <c r="H510">
        <v>280</v>
      </c>
      <c r="I510" t="s">
        <v>19</v>
      </c>
      <c r="J510" t="s">
        <v>22</v>
      </c>
      <c r="K510" t="s">
        <v>23</v>
      </c>
      <c r="L510">
        <f t="shared" si="21"/>
        <v>2022</v>
      </c>
      <c r="M510" s="13">
        <f t="shared" si="22"/>
        <v>44896</v>
      </c>
      <c r="N510" t="str">
        <f t="shared" si="23"/>
        <v>Online</v>
      </c>
      <c r="O510" t="str">
        <f>IF(Tabla22[[#This Row],[quantity]]&gt;=umbral_grande, "Grande", IF(Tabla22[[#This Row],[quantity]]&gt;=umbral_mediano,"Mediano", "Pequeño"))</f>
        <v>Grande</v>
      </c>
    </row>
    <row r="511" spans="2:15" x14ac:dyDescent="0.25">
      <c r="B511">
        <v>508</v>
      </c>
      <c r="C511" s="1">
        <v>44905</v>
      </c>
      <c r="D511" t="s">
        <v>25</v>
      </c>
      <c r="E511" t="s">
        <v>11</v>
      </c>
      <c r="F511">
        <v>60</v>
      </c>
      <c r="G511">
        <v>1</v>
      </c>
      <c r="H511">
        <v>60</v>
      </c>
      <c r="I511" t="s">
        <v>15</v>
      </c>
      <c r="J511" t="s">
        <v>12</v>
      </c>
      <c r="K511" t="s">
        <v>13</v>
      </c>
      <c r="L511">
        <f t="shared" si="21"/>
        <v>2022</v>
      </c>
      <c r="M511" s="13">
        <f t="shared" si="22"/>
        <v>44896</v>
      </c>
      <c r="N511" t="str">
        <f t="shared" si="23"/>
        <v>Cash</v>
      </c>
      <c r="O511" t="str">
        <f>IF(Tabla22[[#This Row],[quantity]]&gt;=umbral_grande, "Grande", IF(Tabla22[[#This Row],[quantity]]&gt;=umbral_mediano,"Mediano", "Pequeño"))</f>
        <v>Pequeño</v>
      </c>
    </row>
    <row r="512" spans="2:15" x14ac:dyDescent="0.25">
      <c r="B512">
        <v>509</v>
      </c>
      <c r="C512" s="1">
        <v>44860</v>
      </c>
      <c r="D512" t="s">
        <v>14</v>
      </c>
      <c r="E512" t="s">
        <v>11</v>
      </c>
      <c r="F512">
        <v>20</v>
      </c>
      <c r="G512">
        <v>11</v>
      </c>
      <c r="H512">
        <v>220</v>
      </c>
      <c r="I512" t="s">
        <v>19</v>
      </c>
      <c r="J512" t="s">
        <v>12</v>
      </c>
      <c r="K512" t="s">
        <v>20</v>
      </c>
      <c r="L512">
        <f t="shared" si="21"/>
        <v>2022</v>
      </c>
      <c r="M512" s="13">
        <f t="shared" si="22"/>
        <v>44835</v>
      </c>
      <c r="N512" t="str">
        <f t="shared" si="23"/>
        <v>Online</v>
      </c>
      <c r="O512" t="str">
        <f>IF(Tabla22[[#This Row],[quantity]]&gt;=umbral_grande, "Grande", IF(Tabla22[[#This Row],[quantity]]&gt;=umbral_mediano,"Mediano", "Pequeño"))</f>
        <v>Grande</v>
      </c>
    </row>
    <row r="513" spans="2:15" x14ac:dyDescent="0.25">
      <c r="B513">
        <v>510</v>
      </c>
      <c r="C513" s="1">
        <v>44655</v>
      </c>
      <c r="D513" t="s">
        <v>25</v>
      </c>
      <c r="E513" t="s">
        <v>11</v>
      </c>
      <c r="F513">
        <v>60</v>
      </c>
      <c r="G513">
        <v>14</v>
      </c>
      <c r="H513">
        <v>840</v>
      </c>
      <c r="I513" t="s">
        <v>19</v>
      </c>
      <c r="J513" t="s">
        <v>12</v>
      </c>
      <c r="K513" t="s">
        <v>16</v>
      </c>
      <c r="L513">
        <f t="shared" si="21"/>
        <v>2022</v>
      </c>
      <c r="M513" s="13">
        <f t="shared" si="22"/>
        <v>44652</v>
      </c>
      <c r="N513" t="str">
        <f t="shared" si="23"/>
        <v>Online</v>
      </c>
      <c r="O513" t="str">
        <f>IF(Tabla22[[#This Row],[quantity]]&gt;=umbral_grande, "Grande", IF(Tabla22[[#This Row],[quantity]]&gt;=umbral_mediano,"Mediano", "Pequeño"))</f>
        <v>Grande</v>
      </c>
    </row>
    <row r="514" spans="2:15" x14ac:dyDescent="0.25">
      <c r="B514">
        <v>511</v>
      </c>
      <c r="C514" s="1">
        <v>44775</v>
      </c>
      <c r="D514" t="s">
        <v>21</v>
      </c>
      <c r="E514" t="s">
        <v>11</v>
      </c>
      <c r="F514">
        <v>20</v>
      </c>
      <c r="G514">
        <v>4</v>
      </c>
      <c r="H514">
        <v>80</v>
      </c>
      <c r="I514" t="s">
        <v>15</v>
      </c>
      <c r="J514" t="s">
        <v>22</v>
      </c>
      <c r="K514" t="s">
        <v>13</v>
      </c>
      <c r="L514">
        <f t="shared" si="21"/>
        <v>2022</v>
      </c>
      <c r="M514" s="13">
        <f t="shared" si="22"/>
        <v>44774</v>
      </c>
      <c r="N514" t="str">
        <f t="shared" si="23"/>
        <v>Cash</v>
      </c>
      <c r="O514" t="str">
        <f>IF(Tabla22[[#This Row],[quantity]]&gt;=umbral_grande, "Grande", IF(Tabla22[[#This Row],[quantity]]&gt;=umbral_mediano,"Mediano", "Pequeño"))</f>
        <v>Pequeño</v>
      </c>
    </row>
    <row r="515" spans="2:15" x14ac:dyDescent="0.25">
      <c r="B515">
        <v>512</v>
      </c>
      <c r="C515" s="1">
        <v>44937</v>
      </c>
      <c r="D515" t="s">
        <v>21</v>
      </c>
      <c r="E515" t="s">
        <v>11</v>
      </c>
      <c r="F515">
        <v>20</v>
      </c>
      <c r="G515">
        <v>3</v>
      </c>
      <c r="H515">
        <v>60</v>
      </c>
      <c r="I515" t="s">
        <v>15</v>
      </c>
      <c r="J515" t="s">
        <v>22</v>
      </c>
      <c r="K515" t="s">
        <v>16</v>
      </c>
      <c r="L515">
        <f t="shared" si="21"/>
        <v>2023</v>
      </c>
      <c r="M515" s="13">
        <f t="shared" si="22"/>
        <v>44927</v>
      </c>
      <c r="N515" t="str">
        <f t="shared" si="23"/>
        <v>Cash</v>
      </c>
      <c r="O515" t="str">
        <f>IF(Tabla22[[#This Row],[quantity]]&gt;=umbral_grande, "Grande", IF(Tabla22[[#This Row],[quantity]]&gt;=umbral_mediano,"Mediano", "Pequeño"))</f>
        <v>Pequeño</v>
      </c>
    </row>
    <row r="516" spans="2:15" x14ac:dyDescent="0.25">
      <c r="B516">
        <v>513</v>
      </c>
      <c r="C516" s="1">
        <v>44758</v>
      </c>
      <c r="D516" t="s">
        <v>27</v>
      </c>
      <c r="E516" t="s">
        <v>18</v>
      </c>
      <c r="F516">
        <v>40</v>
      </c>
      <c r="G516">
        <v>5</v>
      </c>
      <c r="H516">
        <v>200</v>
      </c>
      <c r="I516" t="s">
        <v>15</v>
      </c>
      <c r="J516" t="s">
        <v>22</v>
      </c>
      <c r="K516" t="s">
        <v>13</v>
      </c>
      <c r="L516">
        <f t="shared" si="21"/>
        <v>2022</v>
      </c>
      <c r="M516" s="13">
        <f t="shared" si="22"/>
        <v>44743</v>
      </c>
      <c r="N516" t="str">
        <f t="shared" si="23"/>
        <v>Cash</v>
      </c>
      <c r="O516" t="str">
        <f>IF(Tabla22[[#This Row],[quantity]]&gt;=umbral_grande, "Grande", IF(Tabla22[[#This Row],[quantity]]&gt;=umbral_mediano,"Mediano", "Pequeño"))</f>
        <v>Pequeño</v>
      </c>
    </row>
    <row r="517" spans="2:15" x14ac:dyDescent="0.25">
      <c r="B517">
        <v>514</v>
      </c>
      <c r="C517" s="1">
        <v>44797</v>
      </c>
      <c r="D517" t="s">
        <v>27</v>
      </c>
      <c r="E517" t="s">
        <v>18</v>
      </c>
      <c r="F517">
        <v>40</v>
      </c>
      <c r="G517">
        <v>8</v>
      </c>
      <c r="H517">
        <v>320</v>
      </c>
      <c r="I517" t="s">
        <v>19</v>
      </c>
      <c r="J517" t="s">
        <v>22</v>
      </c>
      <c r="K517" t="s">
        <v>20</v>
      </c>
      <c r="L517">
        <f t="shared" ref="L517:L580" si="24">YEAR(C517)</f>
        <v>2022</v>
      </c>
      <c r="M517" s="13">
        <f t="shared" ref="M517:M580" si="25">DATE(YEAR(C517),MONTH(C517),1)</f>
        <v>44774</v>
      </c>
      <c r="N517" t="str">
        <f t="shared" ref="N517:N580" si="26">IF(I517 = "", "Sin registrar",I517)</f>
        <v>Online</v>
      </c>
      <c r="O517" t="str">
        <f>IF(Tabla22[[#This Row],[quantity]]&gt;=umbral_grande, "Grande", IF(Tabla22[[#This Row],[quantity]]&gt;=umbral_mediano,"Mediano", "Pequeño"))</f>
        <v>Mediano</v>
      </c>
    </row>
    <row r="518" spans="2:15" x14ac:dyDescent="0.25">
      <c r="B518">
        <v>515</v>
      </c>
      <c r="C518" s="1">
        <v>44867</v>
      </c>
      <c r="D518" t="s">
        <v>25</v>
      </c>
      <c r="E518" t="s">
        <v>11</v>
      </c>
      <c r="F518">
        <v>60</v>
      </c>
      <c r="G518">
        <v>7</v>
      </c>
      <c r="H518">
        <v>420</v>
      </c>
      <c r="J518" t="s">
        <v>22</v>
      </c>
      <c r="K518" t="s">
        <v>13</v>
      </c>
      <c r="L518">
        <f t="shared" si="24"/>
        <v>2022</v>
      </c>
      <c r="M518" s="13">
        <f t="shared" si="25"/>
        <v>44866</v>
      </c>
      <c r="N518" t="str">
        <f t="shared" si="26"/>
        <v>Sin registrar</v>
      </c>
      <c r="O518" t="str">
        <f>IF(Tabla22[[#This Row],[quantity]]&gt;=umbral_grande, "Grande", IF(Tabla22[[#This Row],[quantity]]&gt;=umbral_mediano,"Mediano", "Pequeño"))</f>
        <v>Mediano</v>
      </c>
    </row>
    <row r="519" spans="2:15" x14ac:dyDescent="0.25">
      <c r="B519">
        <v>516</v>
      </c>
      <c r="C519" s="1">
        <v>44826</v>
      </c>
      <c r="D519" t="s">
        <v>17</v>
      </c>
      <c r="E519" t="s">
        <v>18</v>
      </c>
      <c r="F519">
        <v>25</v>
      </c>
      <c r="G519">
        <v>12</v>
      </c>
      <c r="H519">
        <v>300</v>
      </c>
      <c r="I519" t="s">
        <v>19</v>
      </c>
      <c r="J519" t="s">
        <v>22</v>
      </c>
      <c r="K519" t="s">
        <v>26</v>
      </c>
      <c r="L519">
        <f t="shared" si="24"/>
        <v>2022</v>
      </c>
      <c r="M519" s="13">
        <f t="shared" si="25"/>
        <v>44805</v>
      </c>
      <c r="N519" t="str">
        <f t="shared" si="26"/>
        <v>Online</v>
      </c>
      <c r="O519" t="str">
        <f>IF(Tabla22[[#This Row],[quantity]]&gt;=umbral_grande, "Grande", IF(Tabla22[[#This Row],[quantity]]&gt;=umbral_mediano,"Mediano", "Pequeño"))</f>
        <v>Grande</v>
      </c>
    </row>
    <row r="520" spans="2:15" x14ac:dyDescent="0.25">
      <c r="B520">
        <v>517</v>
      </c>
      <c r="C520" s="1">
        <v>44744</v>
      </c>
      <c r="D520" t="s">
        <v>21</v>
      </c>
      <c r="E520" t="s">
        <v>11</v>
      </c>
      <c r="F520">
        <v>20</v>
      </c>
      <c r="G520">
        <v>13</v>
      </c>
      <c r="H520">
        <v>260</v>
      </c>
      <c r="I520" t="s">
        <v>19</v>
      </c>
      <c r="J520" t="s">
        <v>12</v>
      </c>
      <c r="K520" t="s">
        <v>20</v>
      </c>
      <c r="L520">
        <f t="shared" si="24"/>
        <v>2022</v>
      </c>
      <c r="M520" s="13">
        <f t="shared" si="25"/>
        <v>44743</v>
      </c>
      <c r="N520" t="str">
        <f t="shared" si="26"/>
        <v>Online</v>
      </c>
      <c r="O520" t="str">
        <f>IF(Tabla22[[#This Row],[quantity]]&gt;=umbral_grande, "Grande", IF(Tabla22[[#This Row],[quantity]]&gt;=umbral_mediano,"Mediano", "Pequeño"))</f>
        <v>Grande</v>
      </c>
    </row>
    <row r="521" spans="2:15" x14ac:dyDescent="0.25">
      <c r="B521">
        <v>518</v>
      </c>
      <c r="C521" s="1">
        <v>44904</v>
      </c>
      <c r="D521" t="s">
        <v>10</v>
      </c>
      <c r="E521" t="s">
        <v>11</v>
      </c>
      <c r="F521">
        <v>20</v>
      </c>
      <c r="G521">
        <v>6</v>
      </c>
      <c r="H521">
        <v>120</v>
      </c>
      <c r="I521" t="s">
        <v>15</v>
      </c>
      <c r="J521" t="s">
        <v>22</v>
      </c>
      <c r="K521" t="s">
        <v>23</v>
      </c>
      <c r="L521">
        <f t="shared" si="24"/>
        <v>2022</v>
      </c>
      <c r="M521" s="13">
        <f t="shared" si="25"/>
        <v>44896</v>
      </c>
      <c r="N521" t="str">
        <f t="shared" si="26"/>
        <v>Cash</v>
      </c>
      <c r="O521" t="str">
        <f>IF(Tabla22[[#This Row],[quantity]]&gt;=umbral_grande, "Grande", IF(Tabla22[[#This Row],[quantity]]&gt;=umbral_mediano,"Mediano", "Pequeño"))</f>
        <v>Mediano</v>
      </c>
    </row>
    <row r="522" spans="2:15" x14ac:dyDescent="0.25">
      <c r="B522">
        <v>519</v>
      </c>
      <c r="C522" s="1">
        <v>44890</v>
      </c>
      <c r="D522" t="s">
        <v>27</v>
      </c>
      <c r="E522" t="s">
        <v>18</v>
      </c>
      <c r="F522">
        <v>40</v>
      </c>
      <c r="G522">
        <v>10</v>
      </c>
      <c r="H522">
        <v>400</v>
      </c>
      <c r="I522" t="s">
        <v>15</v>
      </c>
      <c r="J522" t="s">
        <v>12</v>
      </c>
      <c r="K522" t="s">
        <v>23</v>
      </c>
      <c r="L522">
        <f t="shared" si="24"/>
        <v>2022</v>
      </c>
      <c r="M522" s="13">
        <f t="shared" si="25"/>
        <v>44866</v>
      </c>
      <c r="N522" t="str">
        <f t="shared" si="26"/>
        <v>Cash</v>
      </c>
      <c r="O522" t="str">
        <f>IF(Tabla22[[#This Row],[quantity]]&gt;=umbral_grande, "Grande", IF(Tabla22[[#This Row],[quantity]]&gt;=umbral_mediano,"Mediano", "Pequeño"))</f>
        <v>Mediano</v>
      </c>
    </row>
    <row r="523" spans="2:15" x14ac:dyDescent="0.25">
      <c r="B523">
        <v>520</v>
      </c>
      <c r="C523" s="1">
        <v>44654</v>
      </c>
      <c r="D523" t="s">
        <v>21</v>
      </c>
      <c r="E523" t="s">
        <v>11</v>
      </c>
      <c r="F523">
        <v>20</v>
      </c>
      <c r="G523">
        <v>11</v>
      </c>
      <c r="H523">
        <v>220</v>
      </c>
      <c r="I523" t="s">
        <v>19</v>
      </c>
      <c r="J523" t="s">
        <v>22</v>
      </c>
      <c r="K523" t="s">
        <v>13</v>
      </c>
      <c r="L523">
        <f t="shared" si="24"/>
        <v>2022</v>
      </c>
      <c r="M523" s="13">
        <f t="shared" si="25"/>
        <v>44652</v>
      </c>
      <c r="N523" t="str">
        <f t="shared" si="26"/>
        <v>Online</v>
      </c>
      <c r="O523" t="str">
        <f>IF(Tabla22[[#This Row],[quantity]]&gt;=umbral_grande, "Grande", IF(Tabla22[[#This Row],[quantity]]&gt;=umbral_mediano,"Mediano", "Pequeño"))</f>
        <v>Grande</v>
      </c>
    </row>
    <row r="524" spans="2:15" x14ac:dyDescent="0.25">
      <c r="B524">
        <v>521</v>
      </c>
      <c r="C524" s="1">
        <v>44953</v>
      </c>
      <c r="D524" t="s">
        <v>21</v>
      </c>
      <c r="E524" t="s">
        <v>11</v>
      </c>
      <c r="F524">
        <v>20</v>
      </c>
      <c r="G524">
        <v>14</v>
      </c>
      <c r="H524">
        <v>280</v>
      </c>
      <c r="I524" t="s">
        <v>19</v>
      </c>
      <c r="J524" t="s">
        <v>12</v>
      </c>
      <c r="K524" t="s">
        <v>23</v>
      </c>
      <c r="L524">
        <f t="shared" si="24"/>
        <v>2023</v>
      </c>
      <c r="M524" s="13">
        <f t="shared" si="25"/>
        <v>44927</v>
      </c>
      <c r="N524" t="str">
        <f t="shared" si="26"/>
        <v>Online</v>
      </c>
      <c r="O524" t="str">
        <f>IF(Tabla22[[#This Row],[quantity]]&gt;=umbral_grande, "Grande", IF(Tabla22[[#This Row],[quantity]]&gt;=umbral_mediano,"Mediano", "Pequeño"))</f>
        <v>Grande</v>
      </c>
    </row>
    <row r="525" spans="2:15" x14ac:dyDescent="0.25">
      <c r="B525">
        <v>522</v>
      </c>
      <c r="C525" s="1">
        <v>44924</v>
      </c>
      <c r="D525" t="s">
        <v>21</v>
      </c>
      <c r="E525" t="s">
        <v>11</v>
      </c>
      <c r="F525">
        <v>20</v>
      </c>
      <c r="G525">
        <v>13</v>
      </c>
      <c r="H525">
        <v>260</v>
      </c>
      <c r="I525" t="s">
        <v>15</v>
      </c>
      <c r="J525" t="s">
        <v>22</v>
      </c>
      <c r="K525" t="s">
        <v>26</v>
      </c>
      <c r="L525">
        <f t="shared" si="24"/>
        <v>2022</v>
      </c>
      <c r="M525" s="13">
        <f t="shared" si="25"/>
        <v>44896</v>
      </c>
      <c r="N525" t="str">
        <f t="shared" si="26"/>
        <v>Cash</v>
      </c>
      <c r="O525" t="str">
        <f>IF(Tabla22[[#This Row],[quantity]]&gt;=umbral_grande, "Grande", IF(Tabla22[[#This Row],[quantity]]&gt;=umbral_mediano,"Mediano", "Pequeño"))</f>
        <v>Grande</v>
      </c>
    </row>
    <row r="526" spans="2:15" x14ac:dyDescent="0.25">
      <c r="B526">
        <v>523</v>
      </c>
      <c r="C526" s="1">
        <v>44868</v>
      </c>
      <c r="D526" t="s">
        <v>24</v>
      </c>
      <c r="E526" t="s">
        <v>11</v>
      </c>
      <c r="F526">
        <v>50</v>
      </c>
      <c r="G526">
        <v>6</v>
      </c>
      <c r="H526">
        <v>300</v>
      </c>
      <c r="I526" t="s">
        <v>15</v>
      </c>
      <c r="J526" t="s">
        <v>12</v>
      </c>
      <c r="K526" t="s">
        <v>16</v>
      </c>
      <c r="L526">
        <f t="shared" si="24"/>
        <v>2022</v>
      </c>
      <c r="M526" s="13">
        <f t="shared" si="25"/>
        <v>44866</v>
      </c>
      <c r="N526" t="str">
        <f t="shared" si="26"/>
        <v>Cash</v>
      </c>
      <c r="O526" t="str">
        <f>IF(Tabla22[[#This Row],[quantity]]&gt;=umbral_grande, "Grande", IF(Tabla22[[#This Row],[quantity]]&gt;=umbral_mediano,"Mediano", "Pequeño"))</f>
        <v>Mediano</v>
      </c>
    </row>
    <row r="527" spans="2:15" x14ac:dyDescent="0.25">
      <c r="B527">
        <v>524</v>
      </c>
      <c r="C527" s="1">
        <v>44682</v>
      </c>
      <c r="D527" t="s">
        <v>10</v>
      </c>
      <c r="E527" t="s">
        <v>11</v>
      </c>
      <c r="F527">
        <v>20</v>
      </c>
      <c r="G527">
        <v>13</v>
      </c>
      <c r="H527">
        <v>260</v>
      </c>
      <c r="I527" t="s">
        <v>19</v>
      </c>
      <c r="J527" t="s">
        <v>12</v>
      </c>
      <c r="K527" t="s">
        <v>16</v>
      </c>
      <c r="L527">
        <f t="shared" si="24"/>
        <v>2022</v>
      </c>
      <c r="M527" s="13">
        <f t="shared" si="25"/>
        <v>44682</v>
      </c>
      <c r="N527" t="str">
        <f t="shared" si="26"/>
        <v>Online</v>
      </c>
      <c r="O527" t="str">
        <f>IF(Tabla22[[#This Row],[quantity]]&gt;=umbral_grande, "Grande", IF(Tabla22[[#This Row],[quantity]]&gt;=umbral_mediano,"Mediano", "Pequeño"))</f>
        <v>Grande</v>
      </c>
    </row>
    <row r="528" spans="2:15" x14ac:dyDescent="0.25">
      <c r="B528">
        <v>525</v>
      </c>
      <c r="C528" s="1">
        <v>44685</v>
      </c>
      <c r="D528" t="s">
        <v>14</v>
      </c>
      <c r="E528" t="s">
        <v>11</v>
      </c>
      <c r="F528">
        <v>20</v>
      </c>
      <c r="G528">
        <v>3</v>
      </c>
      <c r="H528">
        <v>60</v>
      </c>
      <c r="I528" t="s">
        <v>15</v>
      </c>
      <c r="J528" t="s">
        <v>12</v>
      </c>
      <c r="K528" t="s">
        <v>26</v>
      </c>
      <c r="L528">
        <f t="shared" si="24"/>
        <v>2022</v>
      </c>
      <c r="M528" s="13">
        <f t="shared" si="25"/>
        <v>44682</v>
      </c>
      <c r="N528" t="str">
        <f t="shared" si="26"/>
        <v>Cash</v>
      </c>
      <c r="O528" t="str">
        <f>IF(Tabla22[[#This Row],[quantity]]&gt;=umbral_grande, "Grande", IF(Tabla22[[#This Row],[quantity]]&gt;=umbral_mediano,"Mediano", "Pequeño"))</f>
        <v>Pequeño</v>
      </c>
    </row>
    <row r="529" spans="2:15" x14ac:dyDescent="0.25">
      <c r="B529">
        <v>526</v>
      </c>
      <c r="C529" s="1">
        <v>44746</v>
      </c>
      <c r="D529" t="s">
        <v>25</v>
      </c>
      <c r="E529" t="s">
        <v>11</v>
      </c>
      <c r="F529">
        <v>60</v>
      </c>
      <c r="G529">
        <v>10</v>
      </c>
      <c r="H529">
        <v>600</v>
      </c>
      <c r="I529" t="s">
        <v>15</v>
      </c>
      <c r="J529" t="s">
        <v>22</v>
      </c>
      <c r="K529" t="s">
        <v>20</v>
      </c>
      <c r="L529">
        <f t="shared" si="24"/>
        <v>2022</v>
      </c>
      <c r="M529" s="13">
        <f t="shared" si="25"/>
        <v>44743</v>
      </c>
      <c r="N529" t="str">
        <f t="shared" si="26"/>
        <v>Cash</v>
      </c>
      <c r="O529" t="str">
        <f>IF(Tabla22[[#This Row],[quantity]]&gt;=umbral_grande, "Grande", IF(Tabla22[[#This Row],[quantity]]&gt;=umbral_mediano,"Mediano", "Pequeño"))</f>
        <v>Mediano</v>
      </c>
    </row>
    <row r="530" spans="2:15" x14ac:dyDescent="0.25">
      <c r="B530">
        <v>527</v>
      </c>
      <c r="C530" s="1">
        <v>44932</v>
      </c>
      <c r="D530" t="s">
        <v>17</v>
      </c>
      <c r="E530" t="s">
        <v>18</v>
      </c>
      <c r="F530">
        <v>25</v>
      </c>
      <c r="G530">
        <v>6</v>
      </c>
      <c r="H530">
        <v>150</v>
      </c>
      <c r="I530" t="s">
        <v>15</v>
      </c>
      <c r="J530" t="s">
        <v>22</v>
      </c>
      <c r="K530" t="s">
        <v>16</v>
      </c>
      <c r="L530">
        <f t="shared" si="24"/>
        <v>2023</v>
      </c>
      <c r="M530" s="13">
        <f t="shared" si="25"/>
        <v>44927</v>
      </c>
      <c r="N530" t="str">
        <f t="shared" si="26"/>
        <v>Cash</v>
      </c>
      <c r="O530" t="str">
        <f>IF(Tabla22[[#This Row],[quantity]]&gt;=umbral_grande, "Grande", IF(Tabla22[[#This Row],[quantity]]&gt;=umbral_mediano,"Mediano", "Pequeño"))</f>
        <v>Mediano</v>
      </c>
    </row>
    <row r="531" spans="2:15" x14ac:dyDescent="0.25">
      <c r="B531">
        <v>528</v>
      </c>
      <c r="C531" s="1">
        <v>44743</v>
      </c>
      <c r="D531" t="s">
        <v>17</v>
      </c>
      <c r="E531" t="s">
        <v>18</v>
      </c>
      <c r="F531">
        <v>25</v>
      </c>
      <c r="G531">
        <v>7</v>
      </c>
      <c r="H531">
        <v>175</v>
      </c>
      <c r="I531" t="s">
        <v>15</v>
      </c>
      <c r="J531" t="s">
        <v>22</v>
      </c>
      <c r="K531" t="s">
        <v>26</v>
      </c>
      <c r="L531">
        <f t="shared" si="24"/>
        <v>2022</v>
      </c>
      <c r="M531" s="13">
        <f t="shared" si="25"/>
        <v>44743</v>
      </c>
      <c r="N531" t="str">
        <f t="shared" si="26"/>
        <v>Cash</v>
      </c>
      <c r="O531" t="str">
        <f>IF(Tabla22[[#This Row],[quantity]]&gt;=umbral_grande, "Grande", IF(Tabla22[[#This Row],[quantity]]&gt;=umbral_mediano,"Mediano", "Pequeño"))</f>
        <v>Mediano</v>
      </c>
    </row>
    <row r="532" spans="2:15" x14ac:dyDescent="0.25">
      <c r="B532">
        <v>529</v>
      </c>
      <c r="C532" s="1">
        <v>44696</v>
      </c>
      <c r="D532" t="s">
        <v>10</v>
      </c>
      <c r="E532" t="s">
        <v>11</v>
      </c>
      <c r="F532">
        <v>20</v>
      </c>
      <c r="G532">
        <v>12</v>
      </c>
      <c r="H532">
        <v>240</v>
      </c>
      <c r="J532" t="s">
        <v>22</v>
      </c>
      <c r="K532" t="s">
        <v>16</v>
      </c>
      <c r="L532">
        <f t="shared" si="24"/>
        <v>2022</v>
      </c>
      <c r="M532" s="13">
        <f t="shared" si="25"/>
        <v>44682</v>
      </c>
      <c r="N532" t="str">
        <f t="shared" si="26"/>
        <v>Sin registrar</v>
      </c>
      <c r="O532" t="str">
        <f>IF(Tabla22[[#This Row],[quantity]]&gt;=umbral_grande, "Grande", IF(Tabla22[[#This Row],[quantity]]&gt;=umbral_mediano,"Mediano", "Pequeño"))</f>
        <v>Grande</v>
      </c>
    </row>
    <row r="533" spans="2:15" x14ac:dyDescent="0.25">
      <c r="B533">
        <v>530</v>
      </c>
      <c r="C533" s="1">
        <v>44769</v>
      </c>
      <c r="D533" t="s">
        <v>21</v>
      </c>
      <c r="E533" t="s">
        <v>11</v>
      </c>
      <c r="F533">
        <v>20</v>
      </c>
      <c r="G533">
        <v>6</v>
      </c>
      <c r="H533">
        <v>120</v>
      </c>
      <c r="I533" t="s">
        <v>15</v>
      </c>
      <c r="J533" t="s">
        <v>22</v>
      </c>
      <c r="K533" t="s">
        <v>13</v>
      </c>
      <c r="L533">
        <f t="shared" si="24"/>
        <v>2022</v>
      </c>
      <c r="M533" s="13">
        <f t="shared" si="25"/>
        <v>44743</v>
      </c>
      <c r="N533" t="str">
        <f t="shared" si="26"/>
        <v>Cash</v>
      </c>
      <c r="O533" t="str">
        <f>IF(Tabla22[[#This Row],[quantity]]&gt;=umbral_grande, "Grande", IF(Tabla22[[#This Row],[quantity]]&gt;=umbral_mediano,"Mediano", "Pequeño"))</f>
        <v>Mediano</v>
      </c>
    </row>
    <row r="534" spans="2:15" x14ac:dyDescent="0.25">
      <c r="B534">
        <v>531</v>
      </c>
      <c r="C534" s="1">
        <v>44838</v>
      </c>
      <c r="D534" t="s">
        <v>27</v>
      </c>
      <c r="E534" t="s">
        <v>18</v>
      </c>
      <c r="F534">
        <v>40</v>
      </c>
      <c r="G534">
        <v>10</v>
      </c>
      <c r="H534">
        <v>400</v>
      </c>
      <c r="I534" t="s">
        <v>15</v>
      </c>
      <c r="J534" t="s">
        <v>12</v>
      </c>
      <c r="K534" t="s">
        <v>13</v>
      </c>
      <c r="L534">
        <f t="shared" si="24"/>
        <v>2022</v>
      </c>
      <c r="M534" s="13">
        <f t="shared" si="25"/>
        <v>44835</v>
      </c>
      <c r="N534" t="str">
        <f t="shared" si="26"/>
        <v>Cash</v>
      </c>
      <c r="O534" t="str">
        <f>IF(Tabla22[[#This Row],[quantity]]&gt;=umbral_grande, "Grande", IF(Tabla22[[#This Row],[quantity]]&gt;=umbral_mediano,"Mediano", "Pequeño"))</f>
        <v>Mediano</v>
      </c>
    </row>
    <row r="535" spans="2:15" x14ac:dyDescent="0.25">
      <c r="B535">
        <v>532</v>
      </c>
      <c r="C535" s="1">
        <v>45012</v>
      </c>
      <c r="D535" t="s">
        <v>21</v>
      </c>
      <c r="E535" t="s">
        <v>11</v>
      </c>
      <c r="F535">
        <v>20</v>
      </c>
      <c r="G535">
        <v>13</v>
      </c>
      <c r="H535">
        <v>260</v>
      </c>
      <c r="I535" t="s">
        <v>19</v>
      </c>
      <c r="J535" t="s">
        <v>22</v>
      </c>
      <c r="K535" t="s">
        <v>26</v>
      </c>
      <c r="L535">
        <f t="shared" si="24"/>
        <v>2023</v>
      </c>
      <c r="M535" s="13">
        <f t="shared" si="25"/>
        <v>44986</v>
      </c>
      <c r="N535" t="str">
        <f t="shared" si="26"/>
        <v>Online</v>
      </c>
      <c r="O535" t="str">
        <f>IF(Tabla22[[#This Row],[quantity]]&gt;=umbral_grande, "Grande", IF(Tabla22[[#This Row],[quantity]]&gt;=umbral_mediano,"Mediano", "Pequeño"))</f>
        <v>Grande</v>
      </c>
    </row>
    <row r="536" spans="2:15" x14ac:dyDescent="0.25">
      <c r="B536">
        <v>533</v>
      </c>
      <c r="C536" s="1">
        <v>44962</v>
      </c>
      <c r="D536" t="s">
        <v>24</v>
      </c>
      <c r="E536" t="s">
        <v>11</v>
      </c>
      <c r="F536">
        <v>50</v>
      </c>
      <c r="G536">
        <v>2</v>
      </c>
      <c r="H536">
        <v>100</v>
      </c>
      <c r="J536" t="s">
        <v>22</v>
      </c>
      <c r="K536" t="s">
        <v>13</v>
      </c>
      <c r="L536">
        <f t="shared" si="24"/>
        <v>2023</v>
      </c>
      <c r="M536" s="13">
        <f t="shared" si="25"/>
        <v>44958</v>
      </c>
      <c r="N536" t="str">
        <f t="shared" si="26"/>
        <v>Sin registrar</v>
      </c>
      <c r="O536" t="str">
        <f>IF(Tabla22[[#This Row],[quantity]]&gt;=umbral_grande, "Grande", IF(Tabla22[[#This Row],[quantity]]&gt;=umbral_mediano,"Mediano", "Pequeño"))</f>
        <v>Pequeño</v>
      </c>
    </row>
    <row r="537" spans="2:15" x14ac:dyDescent="0.25">
      <c r="B537">
        <v>534</v>
      </c>
      <c r="C537" s="1">
        <v>44697</v>
      </c>
      <c r="D537" t="s">
        <v>14</v>
      </c>
      <c r="E537" t="s">
        <v>11</v>
      </c>
      <c r="F537">
        <v>20</v>
      </c>
      <c r="G537">
        <v>2</v>
      </c>
      <c r="H537">
        <v>40</v>
      </c>
      <c r="I537" t="s">
        <v>19</v>
      </c>
      <c r="J537" t="s">
        <v>22</v>
      </c>
      <c r="K537" t="s">
        <v>13</v>
      </c>
      <c r="L537">
        <f t="shared" si="24"/>
        <v>2022</v>
      </c>
      <c r="M537" s="13">
        <f t="shared" si="25"/>
        <v>44682</v>
      </c>
      <c r="N537" t="str">
        <f t="shared" si="26"/>
        <v>Online</v>
      </c>
      <c r="O537" t="str">
        <f>IF(Tabla22[[#This Row],[quantity]]&gt;=umbral_grande, "Grande", IF(Tabla22[[#This Row],[quantity]]&gt;=umbral_mediano,"Mediano", "Pequeño"))</f>
        <v>Pequeño</v>
      </c>
    </row>
    <row r="538" spans="2:15" x14ac:dyDescent="0.25">
      <c r="B538">
        <v>535</v>
      </c>
      <c r="C538" s="1">
        <v>44809</v>
      </c>
      <c r="D538" t="s">
        <v>25</v>
      </c>
      <c r="E538" t="s">
        <v>11</v>
      </c>
      <c r="F538">
        <v>60</v>
      </c>
      <c r="G538">
        <v>4</v>
      </c>
      <c r="H538">
        <v>240</v>
      </c>
      <c r="I538" t="s">
        <v>19</v>
      </c>
      <c r="J538" t="s">
        <v>12</v>
      </c>
      <c r="K538" t="s">
        <v>26</v>
      </c>
      <c r="L538">
        <f t="shared" si="24"/>
        <v>2022</v>
      </c>
      <c r="M538" s="13">
        <f t="shared" si="25"/>
        <v>44805</v>
      </c>
      <c r="N538" t="str">
        <f t="shared" si="26"/>
        <v>Online</v>
      </c>
      <c r="O538" t="str">
        <f>IF(Tabla22[[#This Row],[quantity]]&gt;=umbral_grande, "Grande", IF(Tabla22[[#This Row],[quantity]]&gt;=umbral_mediano,"Mediano", "Pequeño"))</f>
        <v>Pequeño</v>
      </c>
    </row>
    <row r="539" spans="2:15" x14ac:dyDescent="0.25">
      <c r="B539">
        <v>536</v>
      </c>
      <c r="C539" s="1">
        <v>44986</v>
      </c>
      <c r="D539" t="s">
        <v>17</v>
      </c>
      <c r="E539" t="s">
        <v>18</v>
      </c>
      <c r="F539">
        <v>25</v>
      </c>
      <c r="G539">
        <v>7</v>
      </c>
      <c r="H539">
        <v>175</v>
      </c>
      <c r="I539" t="s">
        <v>15</v>
      </c>
      <c r="J539" t="s">
        <v>22</v>
      </c>
      <c r="K539" t="s">
        <v>20</v>
      </c>
      <c r="L539">
        <f t="shared" si="24"/>
        <v>2023</v>
      </c>
      <c r="M539" s="13">
        <f t="shared" si="25"/>
        <v>44986</v>
      </c>
      <c r="N539" t="str">
        <f t="shared" si="26"/>
        <v>Cash</v>
      </c>
      <c r="O539" t="str">
        <f>IF(Tabla22[[#This Row],[quantity]]&gt;=umbral_grande, "Grande", IF(Tabla22[[#This Row],[quantity]]&gt;=umbral_mediano,"Mediano", "Pequeño"))</f>
        <v>Mediano</v>
      </c>
    </row>
    <row r="540" spans="2:15" x14ac:dyDescent="0.25">
      <c r="B540">
        <v>537</v>
      </c>
      <c r="C540" s="1">
        <v>44951</v>
      </c>
      <c r="D540" t="s">
        <v>21</v>
      </c>
      <c r="E540" t="s">
        <v>11</v>
      </c>
      <c r="F540">
        <v>20</v>
      </c>
      <c r="G540">
        <v>3</v>
      </c>
      <c r="H540">
        <v>60</v>
      </c>
      <c r="I540" t="s">
        <v>15</v>
      </c>
      <c r="J540" t="s">
        <v>12</v>
      </c>
      <c r="K540" t="s">
        <v>20</v>
      </c>
      <c r="L540">
        <f t="shared" si="24"/>
        <v>2023</v>
      </c>
      <c r="M540" s="13">
        <f t="shared" si="25"/>
        <v>44927</v>
      </c>
      <c r="N540" t="str">
        <f t="shared" si="26"/>
        <v>Cash</v>
      </c>
      <c r="O540" t="str">
        <f>IF(Tabla22[[#This Row],[quantity]]&gt;=umbral_grande, "Grande", IF(Tabla22[[#This Row],[quantity]]&gt;=umbral_mediano,"Mediano", "Pequeño"))</f>
        <v>Pequeño</v>
      </c>
    </row>
    <row r="541" spans="2:15" x14ac:dyDescent="0.25">
      <c r="B541">
        <v>538</v>
      </c>
      <c r="C541" s="1">
        <v>44717</v>
      </c>
      <c r="D541" t="s">
        <v>21</v>
      </c>
      <c r="E541" t="s">
        <v>11</v>
      </c>
      <c r="F541">
        <v>20</v>
      </c>
      <c r="G541">
        <v>7</v>
      </c>
      <c r="H541">
        <v>140</v>
      </c>
      <c r="I541" t="s">
        <v>19</v>
      </c>
      <c r="J541" t="s">
        <v>12</v>
      </c>
      <c r="K541" t="s">
        <v>23</v>
      </c>
      <c r="L541">
        <f t="shared" si="24"/>
        <v>2022</v>
      </c>
      <c r="M541" s="13">
        <f t="shared" si="25"/>
        <v>44713</v>
      </c>
      <c r="N541" t="str">
        <f t="shared" si="26"/>
        <v>Online</v>
      </c>
      <c r="O541" t="str">
        <f>IF(Tabla22[[#This Row],[quantity]]&gt;=umbral_grande, "Grande", IF(Tabla22[[#This Row],[quantity]]&gt;=umbral_mediano,"Mediano", "Pequeño"))</f>
        <v>Mediano</v>
      </c>
    </row>
    <row r="542" spans="2:15" x14ac:dyDescent="0.25">
      <c r="B542">
        <v>539</v>
      </c>
      <c r="C542" s="1">
        <v>44811</v>
      </c>
      <c r="D542" t="s">
        <v>21</v>
      </c>
      <c r="E542" t="s">
        <v>11</v>
      </c>
      <c r="F542">
        <v>20</v>
      </c>
      <c r="G542">
        <v>3</v>
      </c>
      <c r="H542">
        <v>60</v>
      </c>
      <c r="I542" t="s">
        <v>19</v>
      </c>
      <c r="J542" t="s">
        <v>12</v>
      </c>
      <c r="K542" t="s">
        <v>20</v>
      </c>
      <c r="L542">
        <f t="shared" si="24"/>
        <v>2022</v>
      </c>
      <c r="M542" s="13">
        <f t="shared" si="25"/>
        <v>44805</v>
      </c>
      <c r="N542" t="str">
        <f t="shared" si="26"/>
        <v>Online</v>
      </c>
      <c r="O542" t="str">
        <f>IF(Tabla22[[#This Row],[quantity]]&gt;=umbral_grande, "Grande", IF(Tabla22[[#This Row],[quantity]]&gt;=umbral_mediano,"Mediano", "Pequeño"))</f>
        <v>Pequeño</v>
      </c>
    </row>
    <row r="543" spans="2:15" x14ac:dyDescent="0.25">
      <c r="B543">
        <v>540</v>
      </c>
      <c r="C543" s="1">
        <v>44708</v>
      </c>
      <c r="D543" t="s">
        <v>14</v>
      </c>
      <c r="E543" t="s">
        <v>11</v>
      </c>
      <c r="F543">
        <v>20</v>
      </c>
      <c r="G543">
        <v>13</v>
      </c>
      <c r="H543">
        <v>260</v>
      </c>
      <c r="I543" t="s">
        <v>15</v>
      </c>
      <c r="J543" t="s">
        <v>12</v>
      </c>
      <c r="K543" t="s">
        <v>16</v>
      </c>
      <c r="L543">
        <f t="shared" si="24"/>
        <v>2022</v>
      </c>
      <c r="M543" s="13">
        <f t="shared" si="25"/>
        <v>44682</v>
      </c>
      <c r="N543" t="str">
        <f t="shared" si="26"/>
        <v>Cash</v>
      </c>
      <c r="O543" t="str">
        <f>IF(Tabla22[[#This Row],[quantity]]&gt;=umbral_grande, "Grande", IF(Tabla22[[#This Row],[quantity]]&gt;=umbral_mediano,"Mediano", "Pequeño"))</f>
        <v>Grande</v>
      </c>
    </row>
    <row r="544" spans="2:15" x14ac:dyDescent="0.25">
      <c r="B544">
        <v>541</v>
      </c>
      <c r="C544" s="1">
        <v>44772</v>
      </c>
      <c r="D544" t="s">
        <v>21</v>
      </c>
      <c r="E544" t="s">
        <v>11</v>
      </c>
      <c r="F544">
        <v>20</v>
      </c>
      <c r="G544">
        <v>12</v>
      </c>
      <c r="H544">
        <v>240</v>
      </c>
      <c r="I544" t="s">
        <v>15</v>
      </c>
      <c r="J544" t="s">
        <v>12</v>
      </c>
      <c r="K544" t="s">
        <v>13</v>
      </c>
      <c r="L544">
        <f t="shared" si="24"/>
        <v>2022</v>
      </c>
      <c r="M544" s="13">
        <f t="shared" si="25"/>
        <v>44743</v>
      </c>
      <c r="N544" t="str">
        <f t="shared" si="26"/>
        <v>Cash</v>
      </c>
      <c r="O544" t="str">
        <f>IF(Tabla22[[#This Row],[quantity]]&gt;=umbral_grande, "Grande", IF(Tabla22[[#This Row],[quantity]]&gt;=umbral_mediano,"Mediano", "Pequeño"))</f>
        <v>Grande</v>
      </c>
    </row>
    <row r="545" spans="2:15" x14ac:dyDescent="0.25">
      <c r="B545">
        <v>542</v>
      </c>
      <c r="C545" s="1">
        <v>44777</v>
      </c>
      <c r="D545" t="s">
        <v>17</v>
      </c>
      <c r="E545" t="s">
        <v>18</v>
      </c>
      <c r="F545">
        <v>25</v>
      </c>
      <c r="G545">
        <v>9</v>
      </c>
      <c r="H545">
        <v>225</v>
      </c>
      <c r="I545" t="s">
        <v>15</v>
      </c>
      <c r="J545" t="s">
        <v>12</v>
      </c>
      <c r="K545" t="s">
        <v>20</v>
      </c>
      <c r="L545">
        <f t="shared" si="24"/>
        <v>2022</v>
      </c>
      <c r="M545" s="13">
        <f t="shared" si="25"/>
        <v>44774</v>
      </c>
      <c r="N545" t="str">
        <f t="shared" si="26"/>
        <v>Cash</v>
      </c>
      <c r="O545" t="str">
        <f>IF(Tabla22[[#This Row],[quantity]]&gt;=umbral_grande, "Grande", IF(Tabla22[[#This Row],[quantity]]&gt;=umbral_mediano,"Mediano", "Pequeño"))</f>
        <v>Mediano</v>
      </c>
    </row>
    <row r="546" spans="2:15" x14ac:dyDescent="0.25">
      <c r="B546">
        <v>543</v>
      </c>
      <c r="C546" s="1">
        <v>44661</v>
      </c>
      <c r="D546" t="s">
        <v>10</v>
      </c>
      <c r="E546" t="s">
        <v>11</v>
      </c>
      <c r="F546">
        <v>20</v>
      </c>
      <c r="G546">
        <v>15</v>
      </c>
      <c r="H546">
        <v>300</v>
      </c>
      <c r="I546" t="s">
        <v>15</v>
      </c>
      <c r="J546" t="s">
        <v>22</v>
      </c>
      <c r="K546" t="s">
        <v>20</v>
      </c>
      <c r="L546">
        <f t="shared" si="24"/>
        <v>2022</v>
      </c>
      <c r="M546" s="13">
        <f t="shared" si="25"/>
        <v>44652</v>
      </c>
      <c r="N546" t="str">
        <f t="shared" si="26"/>
        <v>Cash</v>
      </c>
      <c r="O546" t="str">
        <f>IF(Tabla22[[#This Row],[quantity]]&gt;=umbral_grande, "Grande", IF(Tabla22[[#This Row],[quantity]]&gt;=umbral_mediano,"Mediano", "Pequeño"))</f>
        <v>Grande</v>
      </c>
    </row>
    <row r="547" spans="2:15" x14ac:dyDescent="0.25">
      <c r="B547">
        <v>544</v>
      </c>
      <c r="C547" s="1">
        <v>44909</v>
      </c>
      <c r="D547" t="s">
        <v>25</v>
      </c>
      <c r="E547" t="s">
        <v>11</v>
      </c>
      <c r="F547">
        <v>60</v>
      </c>
      <c r="G547">
        <v>15</v>
      </c>
      <c r="H547">
        <v>900</v>
      </c>
      <c r="I547" t="s">
        <v>19</v>
      </c>
      <c r="J547" t="s">
        <v>22</v>
      </c>
      <c r="K547" t="s">
        <v>23</v>
      </c>
      <c r="L547">
        <f t="shared" si="24"/>
        <v>2022</v>
      </c>
      <c r="M547" s="13">
        <f t="shared" si="25"/>
        <v>44896</v>
      </c>
      <c r="N547" t="str">
        <f t="shared" si="26"/>
        <v>Online</v>
      </c>
      <c r="O547" t="str">
        <f>IF(Tabla22[[#This Row],[quantity]]&gt;=umbral_grande, "Grande", IF(Tabla22[[#This Row],[quantity]]&gt;=umbral_mediano,"Mediano", "Pequeño"))</f>
        <v>Grande</v>
      </c>
    </row>
    <row r="548" spans="2:15" x14ac:dyDescent="0.25">
      <c r="B548">
        <v>545</v>
      </c>
      <c r="C548" s="1">
        <v>44927</v>
      </c>
      <c r="D548" t="s">
        <v>25</v>
      </c>
      <c r="E548" t="s">
        <v>11</v>
      </c>
      <c r="F548">
        <v>60</v>
      </c>
      <c r="G548">
        <v>13</v>
      </c>
      <c r="H548">
        <v>780</v>
      </c>
      <c r="I548" t="s">
        <v>19</v>
      </c>
      <c r="J548" t="s">
        <v>22</v>
      </c>
      <c r="K548" t="s">
        <v>26</v>
      </c>
      <c r="L548">
        <f t="shared" si="24"/>
        <v>2023</v>
      </c>
      <c r="M548" s="13">
        <f t="shared" si="25"/>
        <v>44927</v>
      </c>
      <c r="N548" t="str">
        <f t="shared" si="26"/>
        <v>Online</v>
      </c>
      <c r="O548" t="str">
        <f>IF(Tabla22[[#This Row],[quantity]]&gt;=umbral_grande, "Grande", IF(Tabla22[[#This Row],[quantity]]&gt;=umbral_mediano,"Mediano", "Pequeño"))</f>
        <v>Grande</v>
      </c>
    </row>
    <row r="549" spans="2:15" x14ac:dyDescent="0.25">
      <c r="B549">
        <v>546</v>
      </c>
      <c r="C549" s="1">
        <v>44751</v>
      </c>
      <c r="D549" t="s">
        <v>10</v>
      </c>
      <c r="E549" t="s">
        <v>11</v>
      </c>
      <c r="F549">
        <v>20</v>
      </c>
      <c r="G549">
        <v>1</v>
      </c>
      <c r="H549">
        <v>20</v>
      </c>
      <c r="I549" t="s">
        <v>15</v>
      </c>
      <c r="J549" t="s">
        <v>22</v>
      </c>
      <c r="K549" t="s">
        <v>26</v>
      </c>
      <c r="L549">
        <f t="shared" si="24"/>
        <v>2022</v>
      </c>
      <c r="M549" s="13">
        <f t="shared" si="25"/>
        <v>44743</v>
      </c>
      <c r="N549" t="str">
        <f t="shared" si="26"/>
        <v>Cash</v>
      </c>
      <c r="O549" t="str">
        <f>IF(Tabla22[[#This Row],[quantity]]&gt;=umbral_grande, "Grande", IF(Tabla22[[#This Row],[quantity]]&gt;=umbral_mediano,"Mediano", "Pequeño"))</f>
        <v>Pequeño</v>
      </c>
    </row>
    <row r="550" spans="2:15" x14ac:dyDescent="0.25">
      <c r="B550">
        <v>547</v>
      </c>
      <c r="C550" s="1">
        <v>44695</v>
      </c>
      <c r="D550" t="s">
        <v>27</v>
      </c>
      <c r="E550" t="s">
        <v>18</v>
      </c>
      <c r="F550">
        <v>40</v>
      </c>
      <c r="G550">
        <v>10</v>
      </c>
      <c r="H550">
        <v>400</v>
      </c>
      <c r="I550" t="s">
        <v>19</v>
      </c>
      <c r="J550" t="s">
        <v>12</v>
      </c>
      <c r="K550" t="s">
        <v>23</v>
      </c>
      <c r="L550">
        <f t="shared" si="24"/>
        <v>2022</v>
      </c>
      <c r="M550" s="13">
        <f t="shared" si="25"/>
        <v>44682</v>
      </c>
      <c r="N550" t="str">
        <f t="shared" si="26"/>
        <v>Online</v>
      </c>
      <c r="O550" t="str">
        <f>IF(Tabla22[[#This Row],[quantity]]&gt;=umbral_grande, "Grande", IF(Tabla22[[#This Row],[quantity]]&gt;=umbral_mediano,"Mediano", "Pequeño"))</f>
        <v>Mediano</v>
      </c>
    </row>
    <row r="551" spans="2:15" x14ac:dyDescent="0.25">
      <c r="B551">
        <v>548</v>
      </c>
      <c r="C551" s="1">
        <v>45014</v>
      </c>
      <c r="D551" t="s">
        <v>27</v>
      </c>
      <c r="E551" t="s">
        <v>18</v>
      </c>
      <c r="F551">
        <v>40</v>
      </c>
      <c r="G551">
        <v>14</v>
      </c>
      <c r="H551">
        <v>560</v>
      </c>
      <c r="I551" t="s">
        <v>15</v>
      </c>
      <c r="J551" t="s">
        <v>12</v>
      </c>
      <c r="K551" t="s">
        <v>16</v>
      </c>
      <c r="L551">
        <f t="shared" si="24"/>
        <v>2023</v>
      </c>
      <c r="M551" s="13">
        <f t="shared" si="25"/>
        <v>44986</v>
      </c>
      <c r="N551" t="str">
        <f t="shared" si="26"/>
        <v>Cash</v>
      </c>
      <c r="O551" t="str">
        <f>IF(Tabla22[[#This Row],[quantity]]&gt;=umbral_grande, "Grande", IF(Tabla22[[#This Row],[quantity]]&gt;=umbral_mediano,"Mediano", "Pequeño"))</f>
        <v>Grande</v>
      </c>
    </row>
    <row r="552" spans="2:15" x14ac:dyDescent="0.25">
      <c r="B552">
        <v>549</v>
      </c>
      <c r="C552" s="1">
        <v>44666</v>
      </c>
      <c r="D552" t="s">
        <v>17</v>
      </c>
      <c r="E552" t="s">
        <v>18</v>
      </c>
      <c r="F552">
        <v>25</v>
      </c>
      <c r="G552">
        <v>3</v>
      </c>
      <c r="H552">
        <v>75</v>
      </c>
      <c r="I552" t="s">
        <v>19</v>
      </c>
      <c r="J552" t="s">
        <v>12</v>
      </c>
      <c r="K552" t="s">
        <v>16</v>
      </c>
      <c r="L552">
        <f t="shared" si="24"/>
        <v>2022</v>
      </c>
      <c r="M552" s="13">
        <f t="shared" si="25"/>
        <v>44652</v>
      </c>
      <c r="N552" t="str">
        <f t="shared" si="26"/>
        <v>Online</v>
      </c>
      <c r="O552" t="str">
        <f>IF(Tabla22[[#This Row],[quantity]]&gt;=umbral_grande, "Grande", IF(Tabla22[[#This Row],[quantity]]&gt;=umbral_mediano,"Mediano", "Pequeño"))</f>
        <v>Pequeño</v>
      </c>
    </row>
    <row r="553" spans="2:15" x14ac:dyDescent="0.25">
      <c r="B553">
        <v>550</v>
      </c>
      <c r="C553" s="1">
        <v>44880</v>
      </c>
      <c r="D553" t="s">
        <v>27</v>
      </c>
      <c r="E553" t="s">
        <v>18</v>
      </c>
      <c r="F553">
        <v>40</v>
      </c>
      <c r="G553">
        <v>15</v>
      </c>
      <c r="H553">
        <v>600</v>
      </c>
      <c r="I553" t="s">
        <v>19</v>
      </c>
      <c r="J553" t="s">
        <v>12</v>
      </c>
      <c r="K553" t="s">
        <v>16</v>
      </c>
      <c r="L553">
        <f t="shared" si="24"/>
        <v>2022</v>
      </c>
      <c r="M553" s="13">
        <f t="shared" si="25"/>
        <v>44866</v>
      </c>
      <c r="N553" t="str">
        <f t="shared" si="26"/>
        <v>Online</v>
      </c>
      <c r="O553" t="str">
        <f>IF(Tabla22[[#This Row],[quantity]]&gt;=umbral_grande, "Grande", IF(Tabla22[[#This Row],[quantity]]&gt;=umbral_mediano,"Mediano", "Pequeño"))</f>
        <v>Grande</v>
      </c>
    </row>
    <row r="554" spans="2:15" x14ac:dyDescent="0.25">
      <c r="B554">
        <v>551</v>
      </c>
      <c r="C554" s="1">
        <v>44772</v>
      </c>
      <c r="D554" t="s">
        <v>17</v>
      </c>
      <c r="E554" t="s">
        <v>18</v>
      </c>
      <c r="F554">
        <v>25</v>
      </c>
      <c r="G554">
        <v>7</v>
      </c>
      <c r="H554">
        <v>175</v>
      </c>
      <c r="I554" t="s">
        <v>15</v>
      </c>
      <c r="J554" t="s">
        <v>12</v>
      </c>
      <c r="K554" t="s">
        <v>20</v>
      </c>
      <c r="L554">
        <f t="shared" si="24"/>
        <v>2022</v>
      </c>
      <c r="M554" s="13">
        <f t="shared" si="25"/>
        <v>44743</v>
      </c>
      <c r="N554" t="str">
        <f t="shared" si="26"/>
        <v>Cash</v>
      </c>
      <c r="O554" t="str">
        <f>IF(Tabla22[[#This Row],[quantity]]&gt;=umbral_grande, "Grande", IF(Tabla22[[#This Row],[quantity]]&gt;=umbral_mediano,"Mediano", "Pequeño"))</f>
        <v>Mediano</v>
      </c>
    </row>
    <row r="555" spans="2:15" x14ac:dyDescent="0.25">
      <c r="B555">
        <v>552</v>
      </c>
      <c r="C555" s="1">
        <v>44816</v>
      </c>
      <c r="D555" t="s">
        <v>17</v>
      </c>
      <c r="E555" t="s">
        <v>18</v>
      </c>
      <c r="F555">
        <v>25</v>
      </c>
      <c r="G555">
        <v>15</v>
      </c>
      <c r="H555">
        <v>375</v>
      </c>
      <c r="I555" t="s">
        <v>15</v>
      </c>
      <c r="J555" t="s">
        <v>22</v>
      </c>
      <c r="K555" t="s">
        <v>26</v>
      </c>
      <c r="L555">
        <f t="shared" si="24"/>
        <v>2022</v>
      </c>
      <c r="M555" s="13">
        <f t="shared" si="25"/>
        <v>44805</v>
      </c>
      <c r="N555" t="str">
        <f t="shared" si="26"/>
        <v>Cash</v>
      </c>
      <c r="O555" t="str">
        <f>IF(Tabla22[[#This Row],[quantity]]&gt;=umbral_grande, "Grande", IF(Tabla22[[#This Row],[quantity]]&gt;=umbral_mediano,"Mediano", "Pequeño"))</f>
        <v>Grande</v>
      </c>
    </row>
    <row r="556" spans="2:15" x14ac:dyDescent="0.25">
      <c r="B556">
        <v>553</v>
      </c>
      <c r="C556" s="1">
        <v>44876</v>
      </c>
      <c r="D556" t="s">
        <v>21</v>
      </c>
      <c r="E556" t="s">
        <v>11</v>
      </c>
      <c r="F556">
        <v>20</v>
      </c>
      <c r="G556">
        <v>14</v>
      </c>
      <c r="H556">
        <v>280</v>
      </c>
      <c r="I556" t="s">
        <v>15</v>
      </c>
      <c r="J556" t="s">
        <v>12</v>
      </c>
      <c r="K556" t="s">
        <v>20</v>
      </c>
      <c r="L556">
        <f t="shared" si="24"/>
        <v>2022</v>
      </c>
      <c r="M556" s="13">
        <f t="shared" si="25"/>
        <v>44866</v>
      </c>
      <c r="N556" t="str">
        <f t="shared" si="26"/>
        <v>Cash</v>
      </c>
      <c r="O556" t="str">
        <f>IF(Tabla22[[#This Row],[quantity]]&gt;=umbral_grande, "Grande", IF(Tabla22[[#This Row],[quantity]]&gt;=umbral_mediano,"Mediano", "Pequeño"))</f>
        <v>Grande</v>
      </c>
    </row>
    <row r="557" spans="2:15" x14ac:dyDescent="0.25">
      <c r="B557">
        <v>554</v>
      </c>
      <c r="C557" s="1">
        <v>44994</v>
      </c>
      <c r="D557" t="s">
        <v>21</v>
      </c>
      <c r="E557" t="s">
        <v>11</v>
      </c>
      <c r="F557">
        <v>20</v>
      </c>
      <c r="G557">
        <v>4</v>
      </c>
      <c r="H557">
        <v>80</v>
      </c>
      <c r="I557" t="s">
        <v>15</v>
      </c>
      <c r="J557" t="s">
        <v>22</v>
      </c>
      <c r="K557" t="s">
        <v>16</v>
      </c>
      <c r="L557">
        <f t="shared" si="24"/>
        <v>2023</v>
      </c>
      <c r="M557" s="13">
        <f t="shared" si="25"/>
        <v>44986</v>
      </c>
      <c r="N557" t="str">
        <f t="shared" si="26"/>
        <v>Cash</v>
      </c>
      <c r="O557" t="str">
        <f>IF(Tabla22[[#This Row],[quantity]]&gt;=umbral_grande, "Grande", IF(Tabla22[[#This Row],[quantity]]&gt;=umbral_mediano,"Mediano", "Pequeño"))</f>
        <v>Pequeño</v>
      </c>
    </row>
    <row r="558" spans="2:15" x14ac:dyDescent="0.25">
      <c r="B558">
        <v>555</v>
      </c>
      <c r="C558" s="1">
        <v>44667</v>
      </c>
      <c r="D558" t="s">
        <v>25</v>
      </c>
      <c r="E558" t="s">
        <v>11</v>
      </c>
      <c r="F558">
        <v>60</v>
      </c>
      <c r="G558">
        <v>6</v>
      </c>
      <c r="H558">
        <v>360</v>
      </c>
      <c r="I558" t="s">
        <v>15</v>
      </c>
      <c r="J558" t="s">
        <v>22</v>
      </c>
      <c r="K558" t="s">
        <v>20</v>
      </c>
      <c r="L558">
        <f t="shared" si="24"/>
        <v>2022</v>
      </c>
      <c r="M558" s="13">
        <f t="shared" si="25"/>
        <v>44652</v>
      </c>
      <c r="N558" t="str">
        <f t="shared" si="26"/>
        <v>Cash</v>
      </c>
      <c r="O558" t="str">
        <f>IF(Tabla22[[#This Row],[quantity]]&gt;=umbral_grande, "Grande", IF(Tabla22[[#This Row],[quantity]]&gt;=umbral_mediano,"Mediano", "Pequeño"))</f>
        <v>Mediano</v>
      </c>
    </row>
    <row r="559" spans="2:15" x14ac:dyDescent="0.25">
      <c r="B559">
        <v>556</v>
      </c>
      <c r="C559" s="1">
        <v>44984</v>
      </c>
      <c r="D559" t="s">
        <v>14</v>
      </c>
      <c r="E559" t="s">
        <v>11</v>
      </c>
      <c r="F559">
        <v>20</v>
      </c>
      <c r="G559">
        <v>9</v>
      </c>
      <c r="H559">
        <v>180</v>
      </c>
      <c r="I559" t="s">
        <v>15</v>
      </c>
      <c r="J559" t="s">
        <v>22</v>
      </c>
      <c r="K559" t="s">
        <v>13</v>
      </c>
      <c r="L559">
        <f t="shared" si="24"/>
        <v>2023</v>
      </c>
      <c r="M559" s="13">
        <f t="shared" si="25"/>
        <v>44958</v>
      </c>
      <c r="N559" t="str">
        <f t="shared" si="26"/>
        <v>Cash</v>
      </c>
      <c r="O559" t="str">
        <f>IF(Tabla22[[#This Row],[quantity]]&gt;=umbral_grande, "Grande", IF(Tabla22[[#This Row],[quantity]]&gt;=umbral_mediano,"Mediano", "Pequeño"))</f>
        <v>Mediano</v>
      </c>
    </row>
    <row r="560" spans="2:15" x14ac:dyDescent="0.25">
      <c r="B560">
        <v>557</v>
      </c>
      <c r="C560" s="1">
        <v>44742</v>
      </c>
      <c r="D560" t="s">
        <v>25</v>
      </c>
      <c r="E560" t="s">
        <v>11</v>
      </c>
      <c r="F560">
        <v>60</v>
      </c>
      <c r="G560">
        <v>2</v>
      </c>
      <c r="H560">
        <v>120</v>
      </c>
      <c r="I560" t="s">
        <v>15</v>
      </c>
      <c r="J560" t="s">
        <v>22</v>
      </c>
      <c r="K560" t="s">
        <v>20</v>
      </c>
      <c r="L560">
        <f t="shared" si="24"/>
        <v>2022</v>
      </c>
      <c r="M560" s="13">
        <f t="shared" si="25"/>
        <v>44713</v>
      </c>
      <c r="N560" t="str">
        <f t="shared" si="26"/>
        <v>Cash</v>
      </c>
      <c r="O560" t="str">
        <f>IF(Tabla22[[#This Row],[quantity]]&gt;=umbral_grande, "Grande", IF(Tabla22[[#This Row],[quantity]]&gt;=umbral_mediano,"Mediano", "Pequeño"))</f>
        <v>Pequeño</v>
      </c>
    </row>
    <row r="561" spans="2:15" x14ac:dyDescent="0.25">
      <c r="B561">
        <v>558</v>
      </c>
      <c r="C561" s="1">
        <v>44835</v>
      </c>
      <c r="D561" t="s">
        <v>21</v>
      </c>
      <c r="E561" t="s">
        <v>11</v>
      </c>
      <c r="F561">
        <v>20</v>
      </c>
      <c r="G561">
        <v>5</v>
      </c>
      <c r="H561">
        <v>100</v>
      </c>
      <c r="I561" t="s">
        <v>19</v>
      </c>
      <c r="J561" t="s">
        <v>12</v>
      </c>
      <c r="K561" t="s">
        <v>23</v>
      </c>
      <c r="L561">
        <f t="shared" si="24"/>
        <v>2022</v>
      </c>
      <c r="M561" s="13">
        <f t="shared" si="25"/>
        <v>44835</v>
      </c>
      <c r="N561" t="str">
        <f t="shared" si="26"/>
        <v>Online</v>
      </c>
      <c r="O561" t="str">
        <f>IF(Tabla22[[#This Row],[quantity]]&gt;=umbral_grande, "Grande", IF(Tabla22[[#This Row],[quantity]]&gt;=umbral_mediano,"Mediano", "Pequeño"))</f>
        <v>Pequeño</v>
      </c>
    </row>
    <row r="562" spans="2:15" x14ac:dyDescent="0.25">
      <c r="B562">
        <v>559</v>
      </c>
      <c r="C562" s="1">
        <v>44804</v>
      </c>
      <c r="D562" t="s">
        <v>27</v>
      </c>
      <c r="E562" t="s">
        <v>18</v>
      </c>
      <c r="F562">
        <v>40</v>
      </c>
      <c r="G562">
        <v>5</v>
      </c>
      <c r="H562">
        <v>200</v>
      </c>
      <c r="I562" t="s">
        <v>19</v>
      </c>
      <c r="J562" t="s">
        <v>22</v>
      </c>
      <c r="K562" t="s">
        <v>13</v>
      </c>
      <c r="L562">
        <f t="shared" si="24"/>
        <v>2022</v>
      </c>
      <c r="M562" s="13">
        <f t="shared" si="25"/>
        <v>44774</v>
      </c>
      <c r="N562" t="str">
        <f t="shared" si="26"/>
        <v>Online</v>
      </c>
      <c r="O562" t="str">
        <f>IF(Tabla22[[#This Row],[quantity]]&gt;=umbral_grande, "Grande", IF(Tabla22[[#This Row],[quantity]]&gt;=umbral_mediano,"Mediano", "Pequeño"))</f>
        <v>Pequeño</v>
      </c>
    </row>
    <row r="563" spans="2:15" x14ac:dyDescent="0.25">
      <c r="B563">
        <v>560</v>
      </c>
      <c r="C563" s="1">
        <v>44905</v>
      </c>
      <c r="D563" t="s">
        <v>17</v>
      </c>
      <c r="E563" t="s">
        <v>18</v>
      </c>
      <c r="F563">
        <v>25</v>
      </c>
      <c r="G563">
        <v>1</v>
      </c>
      <c r="H563">
        <v>25</v>
      </c>
      <c r="I563" t="s">
        <v>15</v>
      </c>
      <c r="J563" t="s">
        <v>12</v>
      </c>
      <c r="K563" t="s">
        <v>20</v>
      </c>
      <c r="L563">
        <f t="shared" si="24"/>
        <v>2022</v>
      </c>
      <c r="M563" s="13">
        <f t="shared" si="25"/>
        <v>44896</v>
      </c>
      <c r="N563" t="str">
        <f t="shared" si="26"/>
        <v>Cash</v>
      </c>
      <c r="O563" t="str">
        <f>IF(Tabla22[[#This Row],[quantity]]&gt;=umbral_grande, "Grande", IF(Tabla22[[#This Row],[quantity]]&gt;=umbral_mediano,"Mediano", "Pequeño"))</f>
        <v>Pequeño</v>
      </c>
    </row>
    <row r="564" spans="2:15" x14ac:dyDescent="0.25">
      <c r="B564">
        <v>561</v>
      </c>
      <c r="C564" s="1">
        <v>44725</v>
      </c>
      <c r="D564" t="s">
        <v>21</v>
      </c>
      <c r="E564" t="s">
        <v>11</v>
      </c>
      <c r="F564">
        <v>20</v>
      </c>
      <c r="G564">
        <v>1</v>
      </c>
      <c r="H564">
        <v>20</v>
      </c>
      <c r="I564" t="s">
        <v>15</v>
      </c>
      <c r="J564" t="s">
        <v>22</v>
      </c>
      <c r="K564" t="s">
        <v>26</v>
      </c>
      <c r="L564">
        <f t="shared" si="24"/>
        <v>2022</v>
      </c>
      <c r="M564" s="13">
        <f t="shared" si="25"/>
        <v>44713</v>
      </c>
      <c r="N564" t="str">
        <f t="shared" si="26"/>
        <v>Cash</v>
      </c>
      <c r="O564" t="str">
        <f>IF(Tabla22[[#This Row],[quantity]]&gt;=umbral_grande, "Grande", IF(Tabla22[[#This Row],[quantity]]&gt;=umbral_mediano,"Mediano", "Pequeño"))</f>
        <v>Pequeño</v>
      </c>
    </row>
    <row r="565" spans="2:15" x14ac:dyDescent="0.25">
      <c r="B565">
        <v>562</v>
      </c>
      <c r="C565" s="1">
        <v>44782</v>
      </c>
      <c r="D565" t="s">
        <v>24</v>
      </c>
      <c r="E565" t="s">
        <v>11</v>
      </c>
      <c r="F565">
        <v>50</v>
      </c>
      <c r="G565">
        <v>4</v>
      </c>
      <c r="H565">
        <v>200</v>
      </c>
      <c r="I565" t="s">
        <v>15</v>
      </c>
      <c r="J565" t="s">
        <v>12</v>
      </c>
      <c r="K565" t="s">
        <v>16</v>
      </c>
      <c r="L565">
        <f t="shared" si="24"/>
        <v>2022</v>
      </c>
      <c r="M565" s="13">
        <f t="shared" si="25"/>
        <v>44774</v>
      </c>
      <c r="N565" t="str">
        <f t="shared" si="26"/>
        <v>Cash</v>
      </c>
      <c r="O565" t="str">
        <f>IF(Tabla22[[#This Row],[quantity]]&gt;=umbral_grande, "Grande", IF(Tabla22[[#This Row],[quantity]]&gt;=umbral_mediano,"Mediano", "Pequeño"))</f>
        <v>Pequeño</v>
      </c>
    </row>
    <row r="566" spans="2:15" x14ac:dyDescent="0.25">
      <c r="B566">
        <v>563</v>
      </c>
      <c r="C566" s="1">
        <v>44847</v>
      </c>
      <c r="D566" t="s">
        <v>24</v>
      </c>
      <c r="E566" t="s">
        <v>11</v>
      </c>
      <c r="F566">
        <v>50</v>
      </c>
      <c r="G566">
        <v>7</v>
      </c>
      <c r="H566">
        <v>350</v>
      </c>
      <c r="I566" t="s">
        <v>19</v>
      </c>
      <c r="J566" t="s">
        <v>22</v>
      </c>
      <c r="K566" t="s">
        <v>20</v>
      </c>
      <c r="L566">
        <f t="shared" si="24"/>
        <v>2022</v>
      </c>
      <c r="M566" s="13">
        <f t="shared" si="25"/>
        <v>44835</v>
      </c>
      <c r="N566" t="str">
        <f t="shared" si="26"/>
        <v>Online</v>
      </c>
      <c r="O566" t="str">
        <f>IF(Tabla22[[#This Row],[quantity]]&gt;=umbral_grande, "Grande", IF(Tabla22[[#This Row],[quantity]]&gt;=umbral_mediano,"Mediano", "Pequeño"))</f>
        <v>Mediano</v>
      </c>
    </row>
    <row r="567" spans="2:15" x14ac:dyDescent="0.25">
      <c r="B567">
        <v>564</v>
      </c>
      <c r="C567" s="1">
        <v>44831</v>
      </c>
      <c r="D567" t="s">
        <v>27</v>
      </c>
      <c r="E567" t="s">
        <v>18</v>
      </c>
      <c r="F567">
        <v>40</v>
      </c>
      <c r="G567">
        <v>2</v>
      </c>
      <c r="H567">
        <v>80</v>
      </c>
      <c r="J567" t="s">
        <v>12</v>
      </c>
      <c r="K567" t="s">
        <v>23</v>
      </c>
      <c r="L567">
        <f t="shared" si="24"/>
        <v>2022</v>
      </c>
      <c r="M567" s="13">
        <f t="shared" si="25"/>
        <v>44805</v>
      </c>
      <c r="N567" t="str">
        <f t="shared" si="26"/>
        <v>Sin registrar</v>
      </c>
      <c r="O567" t="str">
        <f>IF(Tabla22[[#This Row],[quantity]]&gt;=umbral_grande, "Grande", IF(Tabla22[[#This Row],[quantity]]&gt;=umbral_mediano,"Mediano", "Pequeño"))</f>
        <v>Pequeño</v>
      </c>
    </row>
    <row r="568" spans="2:15" x14ac:dyDescent="0.25">
      <c r="B568">
        <v>565</v>
      </c>
      <c r="C568" s="1">
        <v>44831</v>
      </c>
      <c r="D568" t="s">
        <v>21</v>
      </c>
      <c r="E568" t="s">
        <v>11</v>
      </c>
      <c r="F568">
        <v>20</v>
      </c>
      <c r="G568">
        <v>15</v>
      </c>
      <c r="H568">
        <v>300</v>
      </c>
      <c r="I568" t="s">
        <v>15</v>
      </c>
      <c r="J568" t="s">
        <v>12</v>
      </c>
      <c r="K568" t="s">
        <v>20</v>
      </c>
      <c r="L568">
        <f t="shared" si="24"/>
        <v>2022</v>
      </c>
      <c r="M568" s="13">
        <f t="shared" si="25"/>
        <v>44805</v>
      </c>
      <c r="N568" t="str">
        <f t="shared" si="26"/>
        <v>Cash</v>
      </c>
      <c r="O568" t="str">
        <f>IF(Tabla22[[#This Row],[quantity]]&gt;=umbral_grande, "Grande", IF(Tabla22[[#This Row],[quantity]]&gt;=umbral_mediano,"Mediano", "Pequeño"))</f>
        <v>Grande</v>
      </c>
    </row>
    <row r="569" spans="2:15" x14ac:dyDescent="0.25">
      <c r="B569">
        <v>566</v>
      </c>
      <c r="C569" s="1">
        <v>44761</v>
      </c>
      <c r="D569" t="s">
        <v>24</v>
      </c>
      <c r="E569" t="s">
        <v>11</v>
      </c>
      <c r="F569">
        <v>50</v>
      </c>
      <c r="G569">
        <v>3</v>
      </c>
      <c r="H569">
        <v>150</v>
      </c>
      <c r="I569" t="s">
        <v>15</v>
      </c>
      <c r="J569" t="s">
        <v>12</v>
      </c>
      <c r="K569" t="s">
        <v>20</v>
      </c>
      <c r="L569">
        <f t="shared" si="24"/>
        <v>2022</v>
      </c>
      <c r="M569" s="13">
        <f t="shared" si="25"/>
        <v>44743</v>
      </c>
      <c r="N569" t="str">
        <f t="shared" si="26"/>
        <v>Cash</v>
      </c>
      <c r="O569" t="str">
        <f>IF(Tabla22[[#This Row],[quantity]]&gt;=umbral_grande, "Grande", IF(Tabla22[[#This Row],[quantity]]&gt;=umbral_mediano,"Mediano", "Pequeño"))</f>
        <v>Pequeño</v>
      </c>
    </row>
    <row r="570" spans="2:15" x14ac:dyDescent="0.25">
      <c r="B570">
        <v>567</v>
      </c>
      <c r="C570" s="1">
        <v>44850</v>
      </c>
      <c r="D570" t="s">
        <v>27</v>
      </c>
      <c r="E570" t="s">
        <v>18</v>
      </c>
      <c r="F570">
        <v>40</v>
      </c>
      <c r="G570">
        <v>7</v>
      </c>
      <c r="H570">
        <v>280</v>
      </c>
      <c r="I570" t="s">
        <v>19</v>
      </c>
      <c r="J570" t="s">
        <v>22</v>
      </c>
      <c r="K570" t="s">
        <v>16</v>
      </c>
      <c r="L570">
        <f t="shared" si="24"/>
        <v>2022</v>
      </c>
      <c r="M570" s="13">
        <f t="shared" si="25"/>
        <v>44835</v>
      </c>
      <c r="N570" t="str">
        <f t="shared" si="26"/>
        <v>Online</v>
      </c>
      <c r="O570" t="str">
        <f>IF(Tabla22[[#This Row],[quantity]]&gt;=umbral_grande, "Grande", IF(Tabla22[[#This Row],[quantity]]&gt;=umbral_mediano,"Mediano", "Pequeño"))</f>
        <v>Mediano</v>
      </c>
    </row>
    <row r="571" spans="2:15" x14ac:dyDescent="0.25">
      <c r="B571">
        <v>568</v>
      </c>
      <c r="C571" s="1">
        <v>44924</v>
      </c>
      <c r="D571" t="s">
        <v>21</v>
      </c>
      <c r="E571" t="s">
        <v>11</v>
      </c>
      <c r="F571">
        <v>20</v>
      </c>
      <c r="G571">
        <v>12</v>
      </c>
      <c r="H571">
        <v>240</v>
      </c>
      <c r="J571" t="s">
        <v>22</v>
      </c>
      <c r="K571" t="s">
        <v>16</v>
      </c>
      <c r="L571">
        <f t="shared" si="24"/>
        <v>2022</v>
      </c>
      <c r="M571" s="13">
        <f t="shared" si="25"/>
        <v>44896</v>
      </c>
      <c r="N571" t="str">
        <f t="shared" si="26"/>
        <v>Sin registrar</v>
      </c>
      <c r="O571" t="str">
        <f>IF(Tabla22[[#This Row],[quantity]]&gt;=umbral_grande, "Grande", IF(Tabla22[[#This Row],[quantity]]&gt;=umbral_mediano,"Mediano", "Pequeño"))</f>
        <v>Grande</v>
      </c>
    </row>
    <row r="572" spans="2:15" x14ac:dyDescent="0.25">
      <c r="B572">
        <v>569</v>
      </c>
      <c r="C572" s="1">
        <v>44928</v>
      </c>
      <c r="D572" t="s">
        <v>27</v>
      </c>
      <c r="E572" t="s">
        <v>18</v>
      </c>
      <c r="F572">
        <v>40</v>
      </c>
      <c r="G572">
        <v>15</v>
      </c>
      <c r="H572">
        <v>600</v>
      </c>
      <c r="I572" t="s">
        <v>19</v>
      </c>
      <c r="J572" t="s">
        <v>22</v>
      </c>
      <c r="K572" t="s">
        <v>26</v>
      </c>
      <c r="L572">
        <f t="shared" si="24"/>
        <v>2023</v>
      </c>
      <c r="M572" s="13">
        <f t="shared" si="25"/>
        <v>44927</v>
      </c>
      <c r="N572" t="str">
        <f t="shared" si="26"/>
        <v>Online</v>
      </c>
      <c r="O572" t="str">
        <f>IF(Tabla22[[#This Row],[quantity]]&gt;=umbral_grande, "Grande", IF(Tabla22[[#This Row],[quantity]]&gt;=umbral_mediano,"Mediano", "Pequeño"))</f>
        <v>Grande</v>
      </c>
    </row>
    <row r="573" spans="2:15" x14ac:dyDescent="0.25">
      <c r="B573">
        <v>570</v>
      </c>
      <c r="C573" s="1">
        <v>44819</v>
      </c>
      <c r="D573" t="s">
        <v>17</v>
      </c>
      <c r="E573" t="s">
        <v>18</v>
      </c>
      <c r="F573">
        <v>25</v>
      </c>
      <c r="G573">
        <v>4</v>
      </c>
      <c r="H573">
        <v>100</v>
      </c>
      <c r="I573" t="s">
        <v>15</v>
      </c>
      <c r="J573" t="s">
        <v>12</v>
      </c>
      <c r="K573" t="s">
        <v>23</v>
      </c>
      <c r="L573">
        <f t="shared" si="24"/>
        <v>2022</v>
      </c>
      <c r="M573" s="13">
        <f t="shared" si="25"/>
        <v>44805</v>
      </c>
      <c r="N573" t="str">
        <f t="shared" si="26"/>
        <v>Cash</v>
      </c>
      <c r="O573" t="str">
        <f>IF(Tabla22[[#This Row],[quantity]]&gt;=umbral_grande, "Grande", IF(Tabla22[[#This Row],[quantity]]&gt;=umbral_mediano,"Mediano", "Pequeño"))</f>
        <v>Pequeño</v>
      </c>
    </row>
    <row r="574" spans="2:15" x14ac:dyDescent="0.25">
      <c r="B574">
        <v>571</v>
      </c>
      <c r="C574" s="1">
        <v>44893</v>
      </c>
      <c r="D574" t="s">
        <v>17</v>
      </c>
      <c r="E574" t="s">
        <v>18</v>
      </c>
      <c r="F574">
        <v>25</v>
      </c>
      <c r="G574">
        <v>1</v>
      </c>
      <c r="H574">
        <v>25</v>
      </c>
      <c r="I574" t="s">
        <v>15</v>
      </c>
      <c r="J574" t="s">
        <v>22</v>
      </c>
      <c r="K574" t="s">
        <v>20</v>
      </c>
      <c r="L574">
        <f t="shared" si="24"/>
        <v>2022</v>
      </c>
      <c r="M574" s="13">
        <f t="shared" si="25"/>
        <v>44866</v>
      </c>
      <c r="N574" t="str">
        <f t="shared" si="26"/>
        <v>Cash</v>
      </c>
      <c r="O574" t="str">
        <f>IF(Tabla22[[#This Row],[quantity]]&gt;=umbral_grande, "Grande", IF(Tabla22[[#This Row],[quantity]]&gt;=umbral_mediano,"Mediano", "Pequeño"))</f>
        <v>Pequeño</v>
      </c>
    </row>
    <row r="575" spans="2:15" x14ac:dyDescent="0.25">
      <c r="B575">
        <v>572</v>
      </c>
      <c r="C575" s="1">
        <v>44653</v>
      </c>
      <c r="D575" t="s">
        <v>25</v>
      </c>
      <c r="E575" t="s">
        <v>11</v>
      </c>
      <c r="F575">
        <v>60</v>
      </c>
      <c r="G575">
        <v>15</v>
      </c>
      <c r="H575">
        <v>900</v>
      </c>
      <c r="I575" t="s">
        <v>15</v>
      </c>
      <c r="J575" t="s">
        <v>12</v>
      </c>
      <c r="K575" t="s">
        <v>16</v>
      </c>
      <c r="L575">
        <f t="shared" si="24"/>
        <v>2022</v>
      </c>
      <c r="M575" s="13">
        <f t="shared" si="25"/>
        <v>44652</v>
      </c>
      <c r="N575" t="str">
        <f t="shared" si="26"/>
        <v>Cash</v>
      </c>
      <c r="O575" t="str">
        <f>IF(Tabla22[[#This Row],[quantity]]&gt;=umbral_grande, "Grande", IF(Tabla22[[#This Row],[quantity]]&gt;=umbral_mediano,"Mediano", "Pequeño"))</f>
        <v>Grande</v>
      </c>
    </row>
    <row r="576" spans="2:15" x14ac:dyDescent="0.25">
      <c r="B576">
        <v>573</v>
      </c>
      <c r="C576" s="1">
        <v>44811</v>
      </c>
      <c r="D576" t="s">
        <v>24</v>
      </c>
      <c r="E576" t="s">
        <v>11</v>
      </c>
      <c r="F576">
        <v>50</v>
      </c>
      <c r="G576">
        <v>2</v>
      </c>
      <c r="H576">
        <v>100</v>
      </c>
      <c r="I576" t="s">
        <v>15</v>
      </c>
      <c r="J576" t="s">
        <v>12</v>
      </c>
      <c r="K576" t="s">
        <v>16</v>
      </c>
      <c r="L576">
        <f t="shared" si="24"/>
        <v>2022</v>
      </c>
      <c r="M576" s="13">
        <f t="shared" si="25"/>
        <v>44805</v>
      </c>
      <c r="N576" t="str">
        <f t="shared" si="26"/>
        <v>Cash</v>
      </c>
      <c r="O576" t="str">
        <f>IF(Tabla22[[#This Row],[quantity]]&gt;=umbral_grande, "Grande", IF(Tabla22[[#This Row],[quantity]]&gt;=umbral_mediano,"Mediano", "Pequeño"))</f>
        <v>Pequeño</v>
      </c>
    </row>
    <row r="577" spans="2:15" x14ac:dyDescent="0.25">
      <c r="B577">
        <v>574</v>
      </c>
      <c r="C577" s="1">
        <v>44856</v>
      </c>
      <c r="D577" t="s">
        <v>10</v>
      </c>
      <c r="E577" t="s">
        <v>11</v>
      </c>
      <c r="F577">
        <v>20</v>
      </c>
      <c r="G577">
        <v>1</v>
      </c>
      <c r="H577">
        <v>20</v>
      </c>
      <c r="I577" t="s">
        <v>15</v>
      </c>
      <c r="J577" t="s">
        <v>22</v>
      </c>
      <c r="K577" t="s">
        <v>13</v>
      </c>
      <c r="L577">
        <f t="shared" si="24"/>
        <v>2022</v>
      </c>
      <c r="M577" s="13">
        <f t="shared" si="25"/>
        <v>44835</v>
      </c>
      <c r="N577" t="str">
        <f t="shared" si="26"/>
        <v>Cash</v>
      </c>
      <c r="O577" t="str">
        <f>IF(Tabla22[[#This Row],[quantity]]&gt;=umbral_grande, "Grande", IF(Tabla22[[#This Row],[quantity]]&gt;=umbral_mediano,"Mediano", "Pequeño"))</f>
        <v>Pequeño</v>
      </c>
    </row>
    <row r="578" spans="2:15" x14ac:dyDescent="0.25">
      <c r="B578">
        <v>575</v>
      </c>
      <c r="C578" s="1">
        <v>44919</v>
      </c>
      <c r="D578" t="s">
        <v>14</v>
      </c>
      <c r="E578" t="s">
        <v>11</v>
      </c>
      <c r="F578">
        <v>20</v>
      </c>
      <c r="G578">
        <v>1</v>
      </c>
      <c r="H578">
        <v>20</v>
      </c>
      <c r="I578" t="s">
        <v>19</v>
      </c>
      <c r="J578" t="s">
        <v>22</v>
      </c>
      <c r="K578" t="s">
        <v>26</v>
      </c>
      <c r="L578">
        <f t="shared" si="24"/>
        <v>2022</v>
      </c>
      <c r="M578" s="13">
        <f t="shared" si="25"/>
        <v>44896</v>
      </c>
      <c r="N578" t="str">
        <f t="shared" si="26"/>
        <v>Online</v>
      </c>
      <c r="O578" t="str">
        <f>IF(Tabla22[[#This Row],[quantity]]&gt;=umbral_grande, "Grande", IF(Tabla22[[#This Row],[quantity]]&gt;=umbral_mediano,"Mediano", "Pequeño"))</f>
        <v>Pequeño</v>
      </c>
    </row>
    <row r="579" spans="2:15" x14ac:dyDescent="0.25">
      <c r="B579">
        <v>576</v>
      </c>
      <c r="C579" s="1">
        <v>45008</v>
      </c>
      <c r="D579" t="s">
        <v>21</v>
      </c>
      <c r="E579" t="s">
        <v>11</v>
      </c>
      <c r="F579">
        <v>20</v>
      </c>
      <c r="G579">
        <v>12</v>
      </c>
      <c r="H579">
        <v>240</v>
      </c>
      <c r="I579" t="s">
        <v>15</v>
      </c>
      <c r="J579" t="s">
        <v>22</v>
      </c>
      <c r="K579" t="s">
        <v>16</v>
      </c>
      <c r="L579">
        <f t="shared" si="24"/>
        <v>2023</v>
      </c>
      <c r="M579" s="13">
        <f t="shared" si="25"/>
        <v>44986</v>
      </c>
      <c r="N579" t="str">
        <f t="shared" si="26"/>
        <v>Cash</v>
      </c>
      <c r="O579" t="str">
        <f>IF(Tabla22[[#This Row],[quantity]]&gt;=umbral_grande, "Grande", IF(Tabla22[[#This Row],[quantity]]&gt;=umbral_mediano,"Mediano", "Pequeño"))</f>
        <v>Grande</v>
      </c>
    </row>
    <row r="580" spans="2:15" x14ac:dyDescent="0.25">
      <c r="B580">
        <v>577</v>
      </c>
      <c r="C580" s="1">
        <v>44810</v>
      </c>
      <c r="D580" t="s">
        <v>27</v>
      </c>
      <c r="E580" t="s">
        <v>18</v>
      </c>
      <c r="F580">
        <v>40</v>
      </c>
      <c r="G580">
        <v>7</v>
      </c>
      <c r="H580">
        <v>280</v>
      </c>
      <c r="I580" t="s">
        <v>15</v>
      </c>
      <c r="J580" t="s">
        <v>12</v>
      </c>
      <c r="K580" t="s">
        <v>20</v>
      </c>
      <c r="L580">
        <f t="shared" si="24"/>
        <v>2022</v>
      </c>
      <c r="M580" s="13">
        <f t="shared" si="25"/>
        <v>44805</v>
      </c>
      <c r="N580" t="str">
        <f t="shared" si="26"/>
        <v>Cash</v>
      </c>
      <c r="O580" t="str">
        <f>IF(Tabla22[[#This Row],[quantity]]&gt;=umbral_grande, "Grande", IF(Tabla22[[#This Row],[quantity]]&gt;=umbral_mediano,"Mediano", "Pequeño"))</f>
        <v>Mediano</v>
      </c>
    </row>
    <row r="581" spans="2:15" x14ac:dyDescent="0.25">
      <c r="B581">
        <v>578</v>
      </c>
      <c r="C581" s="1">
        <v>44742</v>
      </c>
      <c r="D581" t="s">
        <v>24</v>
      </c>
      <c r="E581" t="s">
        <v>11</v>
      </c>
      <c r="F581">
        <v>50</v>
      </c>
      <c r="G581">
        <v>5</v>
      </c>
      <c r="H581">
        <v>250</v>
      </c>
      <c r="I581" t="s">
        <v>19</v>
      </c>
      <c r="J581" t="s">
        <v>22</v>
      </c>
      <c r="K581" t="s">
        <v>13</v>
      </c>
      <c r="L581">
        <f t="shared" ref="L581:L644" si="27">YEAR(C581)</f>
        <v>2022</v>
      </c>
      <c r="M581" s="13">
        <f t="shared" ref="M581:M644" si="28">DATE(YEAR(C581),MONTH(C581),1)</f>
        <v>44713</v>
      </c>
      <c r="N581" t="str">
        <f t="shared" ref="N581:N644" si="29">IF(I581 = "", "Sin registrar",I581)</f>
        <v>Online</v>
      </c>
      <c r="O581" t="str">
        <f>IF(Tabla22[[#This Row],[quantity]]&gt;=umbral_grande, "Grande", IF(Tabla22[[#This Row],[quantity]]&gt;=umbral_mediano,"Mediano", "Pequeño"))</f>
        <v>Pequeño</v>
      </c>
    </row>
    <row r="582" spans="2:15" x14ac:dyDescent="0.25">
      <c r="B582">
        <v>579</v>
      </c>
      <c r="C582" s="1">
        <v>44678</v>
      </c>
      <c r="D582" t="s">
        <v>21</v>
      </c>
      <c r="E582" t="s">
        <v>11</v>
      </c>
      <c r="F582">
        <v>20</v>
      </c>
      <c r="G582">
        <v>2</v>
      </c>
      <c r="H582">
        <v>40</v>
      </c>
      <c r="I582" t="s">
        <v>15</v>
      </c>
      <c r="J582" t="s">
        <v>12</v>
      </c>
      <c r="K582" t="s">
        <v>20</v>
      </c>
      <c r="L582">
        <f t="shared" si="27"/>
        <v>2022</v>
      </c>
      <c r="M582" s="13">
        <f t="shared" si="28"/>
        <v>44652</v>
      </c>
      <c r="N582" t="str">
        <f t="shared" si="29"/>
        <v>Cash</v>
      </c>
      <c r="O582" t="str">
        <f>IF(Tabla22[[#This Row],[quantity]]&gt;=umbral_grande, "Grande", IF(Tabla22[[#This Row],[quantity]]&gt;=umbral_mediano,"Mediano", "Pequeño"))</f>
        <v>Pequeño</v>
      </c>
    </row>
    <row r="583" spans="2:15" x14ac:dyDescent="0.25">
      <c r="B583">
        <v>580</v>
      </c>
      <c r="C583" s="1">
        <v>44743</v>
      </c>
      <c r="D583" t="s">
        <v>21</v>
      </c>
      <c r="E583" t="s">
        <v>11</v>
      </c>
      <c r="F583">
        <v>20</v>
      </c>
      <c r="G583">
        <v>10</v>
      </c>
      <c r="H583">
        <v>200</v>
      </c>
      <c r="I583" t="s">
        <v>19</v>
      </c>
      <c r="J583" t="s">
        <v>12</v>
      </c>
      <c r="K583" t="s">
        <v>13</v>
      </c>
      <c r="L583">
        <f t="shared" si="27"/>
        <v>2022</v>
      </c>
      <c r="M583" s="13">
        <f t="shared" si="28"/>
        <v>44743</v>
      </c>
      <c r="N583" t="str">
        <f t="shared" si="29"/>
        <v>Online</v>
      </c>
      <c r="O583" t="str">
        <f>IF(Tabla22[[#This Row],[quantity]]&gt;=umbral_grande, "Grande", IF(Tabla22[[#This Row],[quantity]]&gt;=umbral_mediano,"Mediano", "Pequeño"))</f>
        <v>Mediano</v>
      </c>
    </row>
    <row r="584" spans="2:15" x14ac:dyDescent="0.25">
      <c r="B584">
        <v>581</v>
      </c>
      <c r="C584" s="1">
        <v>44674</v>
      </c>
      <c r="D584" t="s">
        <v>17</v>
      </c>
      <c r="E584" t="s">
        <v>18</v>
      </c>
      <c r="F584">
        <v>25</v>
      </c>
      <c r="G584">
        <v>13</v>
      </c>
      <c r="H584">
        <v>325</v>
      </c>
      <c r="I584" t="s">
        <v>15</v>
      </c>
      <c r="J584" t="s">
        <v>12</v>
      </c>
      <c r="K584" t="s">
        <v>16</v>
      </c>
      <c r="L584">
        <f t="shared" si="27"/>
        <v>2022</v>
      </c>
      <c r="M584" s="13">
        <f t="shared" si="28"/>
        <v>44652</v>
      </c>
      <c r="N584" t="str">
        <f t="shared" si="29"/>
        <v>Cash</v>
      </c>
      <c r="O584" t="str">
        <f>IF(Tabla22[[#This Row],[quantity]]&gt;=umbral_grande, "Grande", IF(Tabla22[[#This Row],[quantity]]&gt;=umbral_mediano,"Mediano", "Pequeño"))</f>
        <v>Grande</v>
      </c>
    </row>
    <row r="585" spans="2:15" x14ac:dyDescent="0.25">
      <c r="B585">
        <v>582</v>
      </c>
      <c r="C585" s="1">
        <v>44693</v>
      </c>
      <c r="D585" t="s">
        <v>10</v>
      </c>
      <c r="E585" t="s">
        <v>11</v>
      </c>
      <c r="F585">
        <v>20</v>
      </c>
      <c r="G585">
        <v>13</v>
      </c>
      <c r="H585">
        <v>260</v>
      </c>
      <c r="I585" t="s">
        <v>15</v>
      </c>
      <c r="J585" t="s">
        <v>12</v>
      </c>
      <c r="K585" t="s">
        <v>23</v>
      </c>
      <c r="L585">
        <f t="shared" si="27"/>
        <v>2022</v>
      </c>
      <c r="M585" s="13">
        <f t="shared" si="28"/>
        <v>44682</v>
      </c>
      <c r="N585" t="str">
        <f t="shared" si="29"/>
        <v>Cash</v>
      </c>
      <c r="O585" t="str">
        <f>IF(Tabla22[[#This Row],[quantity]]&gt;=umbral_grande, "Grande", IF(Tabla22[[#This Row],[quantity]]&gt;=umbral_mediano,"Mediano", "Pequeño"))</f>
        <v>Grande</v>
      </c>
    </row>
    <row r="586" spans="2:15" x14ac:dyDescent="0.25">
      <c r="B586">
        <v>583</v>
      </c>
      <c r="C586" s="1">
        <v>44712</v>
      </c>
      <c r="D586" t="s">
        <v>24</v>
      </c>
      <c r="E586" t="s">
        <v>11</v>
      </c>
      <c r="F586">
        <v>50</v>
      </c>
      <c r="G586">
        <v>8</v>
      </c>
      <c r="H586">
        <v>400</v>
      </c>
      <c r="I586" t="s">
        <v>15</v>
      </c>
      <c r="J586" t="s">
        <v>12</v>
      </c>
      <c r="K586" t="s">
        <v>13</v>
      </c>
      <c r="L586">
        <f t="shared" si="27"/>
        <v>2022</v>
      </c>
      <c r="M586" s="13">
        <f t="shared" si="28"/>
        <v>44682</v>
      </c>
      <c r="N586" t="str">
        <f t="shared" si="29"/>
        <v>Cash</v>
      </c>
      <c r="O586" t="str">
        <f>IF(Tabla22[[#This Row],[quantity]]&gt;=umbral_grande, "Grande", IF(Tabla22[[#This Row],[quantity]]&gt;=umbral_mediano,"Mediano", "Pequeño"))</f>
        <v>Mediano</v>
      </c>
    </row>
    <row r="587" spans="2:15" x14ac:dyDescent="0.25">
      <c r="B587">
        <v>584</v>
      </c>
      <c r="C587" s="1">
        <v>44899</v>
      </c>
      <c r="D587" t="s">
        <v>27</v>
      </c>
      <c r="E587" t="s">
        <v>18</v>
      </c>
      <c r="F587">
        <v>40</v>
      </c>
      <c r="G587">
        <v>15</v>
      </c>
      <c r="H587">
        <v>600</v>
      </c>
      <c r="I587" t="s">
        <v>15</v>
      </c>
      <c r="J587" t="s">
        <v>12</v>
      </c>
      <c r="K587" t="s">
        <v>23</v>
      </c>
      <c r="L587">
        <f t="shared" si="27"/>
        <v>2022</v>
      </c>
      <c r="M587" s="13">
        <f t="shared" si="28"/>
        <v>44896</v>
      </c>
      <c r="N587" t="str">
        <f t="shared" si="29"/>
        <v>Cash</v>
      </c>
      <c r="O587" t="str">
        <f>IF(Tabla22[[#This Row],[quantity]]&gt;=umbral_grande, "Grande", IF(Tabla22[[#This Row],[quantity]]&gt;=umbral_mediano,"Mediano", "Pequeño"))</f>
        <v>Grande</v>
      </c>
    </row>
    <row r="588" spans="2:15" x14ac:dyDescent="0.25">
      <c r="B588">
        <v>585</v>
      </c>
      <c r="C588" s="1">
        <v>44990</v>
      </c>
      <c r="D588" t="s">
        <v>14</v>
      </c>
      <c r="E588" t="s">
        <v>11</v>
      </c>
      <c r="F588">
        <v>20</v>
      </c>
      <c r="G588">
        <v>11</v>
      </c>
      <c r="H588">
        <v>220</v>
      </c>
      <c r="I588" t="s">
        <v>15</v>
      </c>
      <c r="J588" t="s">
        <v>22</v>
      </c>
      <c r="K588" t="s">
        <v>23</v>
      </c>
      <c r="L588">
        <f t="shared" si="27"/>
        <v>2023</v>
      </c>
      <c r="M588" s="13">
        <f t="shared" si="28"/>
        <v>44986</v>
      </c>
      <c r="N588" t="str">
        <f t="shared" si="29"/>
        <v>Cash</v>
      </c>
      <c r="O588" t="str">
        <f>IF(Tabla22[[#This Row],[quantity]]&gt;=umbral_grande, "Grande", IF(Tabla22[[#This Row],[quantity]]&gt;=umbral_mediano,"Mediano", "Pequeño"))</f>
        <v>Grande</v>
      </c>
    </row>
    <row r="589" spans="2:15" x14ac:dyDescent="0.25">
      <c r="B589">
        <v>586</v>
      </c>
      <c r="C589" s="1">
        <v>44703</v>
      </c>
      <c r="D589" t="s">
        <v>25</v>
      </c>
      <c r="E589" t="s">
        <v>11</v>
      </c>
      <c r="F589">
        <v>60</v>
      </c>
      <c r="G589">
        <v>15</v>
      </c>
      <c r="H589">
        <v>900</v>
      </c>
      <c r="I589" t="s">
        <v>19</v>
      </c>
      <c r="J589" t="s">
        <v>12</v>
      </c>
      <c r="K589" t="s">
        <v>13</v>
      </c>
      <c r="L589">
        <f t="shared" si="27"/>
        <v>2022</v>
      </c>
      <c r="M589" s="13">
        <f t="shared" si="28"/>
        <v>44682</v>
      </c>
      <c r="N589" t="str">
        <f t="shared" si="29"/>
        <v>Online</v>
      </c>
      <c r="O589" t="str">
        <f>IF(Tabla22[[#This Row],[quantity]]&gt;=umbral_grande, "Grande", IF(Tabla22[[#This Row],[quantity]]&gt;=umbral_mediano,"Mediano", "Pequeño"))</f>
        <v>Grande</v>
      </c>
    </row>
    <row r="590" spans="2:15" x14ac:dyDescent="0.25">
      <c r="B590">
        <v>587</v>
      </c>
      <c r="C590" s="1">
        <v>44660</v>
      </c>
      <c r="D590" t="s">
        <v>10</v>
      </c>
      <c r="E590" t="s">
        <v>11</v>
      </c>
      <c r="F590">
        <v>20</v>
      </c>
      <c r="G590">
        <v>10</v>
      </c>
      <c r="H590">
        <v>200</v>
      </c>
      <c r="I590" t="s">
        <v>15</v>
      </c>
      <c r="J590" t="s">
        <v>22</v>
      </c>
      <c r="K590" t="s">
        <v>13</v>
      </c>
      <c r="L590">
        <f t="shared" si="27"/>
        <v>2022</v>
      </c>
      <c r="M590" s="13">
        <f t="shared" si="28"/>
        <v>44652</v>
      </c>
      <c r="N590" t="str">
        <f t="shared" si="29"/>
        <v>Cash</v>
      </c>
      <c r="O590" t="str">
        <f>IF(Tabla22[[#This Row],[quantity]]&gt;=umbral_grande, "Grande", IF(Tabla22[[#This Row],[quantity]]&gt;=umbral_mediano,"Mediano", "Pequeño"))</f>
        <v>Mediano</v>
      </c>
    </row>
    <row r="591" spans="2:15" x14ac:dyDescent="0.25">
      <c r="B591">
        <v>588</v>
      </c>
      <c r="C591" s="1">
        <v>44728</v>
      </c>
      <c r="D591" t="s">
        <v>24</v>
      </c>
      <c r="E591" t="s">
        <v>11</v>
      </c>
      <c r="F591">
        <v>50</v>
      </c>
      <c r="G591">
        <v>11</v>
      </c>
      <c r="H591">
        <v>550</v>
      </c>
      <c r="I591" t="s">
        <v>15</v>
      </c>
      <c r="J591" t="s">
        <v>22</v>
      </c>
      <c r="K591" t="s">
        <v>23</v>
      </c>
      <c r="L591">
        <f t="shared" si="27"/>
        <v>2022</v>
      </c>
      <c r="M591" s="13">
        <f t="shared" si="28"/>
        <v>44713</v>
      </c>
      <c r="N591" t="str">
        <f t="shared" si="29"/>
        <v>Cash</v>
      </c>
      <c r="O591" t="str">
        <f>IF(Tabla22[[#This Row],[quantity]]&gt;=umbral_grande, "Grande", IF(Tabla22[[#This Row],[quantity]]&gt;=umbral_mediano,"Mediano", "Pequeño"))</f>
        <v>Grande</v>
      </c>
    </row>
    <row r="592" spans="2:15" x14ac:dyDescent="0.25">
      <c r="B592">
        <v>589</v>
      </c>
      <c r="C592" s="1">
        <v>44798</v>
      </c>
      <c r="D592" t="s">
        <v>27</v>
      </c>
      <c r="E592" t="s">
        <v>18</v>
      </c>
      <c r="F592">
        <v>40</v>
      </c>
      <c r="G592">
        <v>5</v>
      </c>
      <c r="H592">
        <v>200</v>
      </c>
      <c r="I592" t="s">
        <v>15</v>
      </c>
      <c r="J592" t="s">
        <v>12</v>
      </c>
      <c r="K592" t="s">
        <v>13</v>
      </c>
      <c r="L592">
        <f t="shared" si="27"/>
        <v>2022</v>
      </c>
      <c r="M592" s="13">
        <f t="shared" si="28"/>
        <v>44774</v>
      </c>
      <c r="N592" t="str">
        <f t="shared" si="29"/>
        <v>Cash</v>
      </c>
      <c r="O592" t="str">
        <f>IF(Tabla22[[#This Row],[quantity]]&gt;=umbral_grande, "Grande", IF(Tabla22[[#This Row],[quantity]]&gt;=umbral_mediano,"Mediano", "Pequeño"))</f>
        <v>Pequeño</v>
      </c>
    </row>
    <row r="593" spans="2:15" x14ac:dyDescent="0.25">
      <c r="B593">
        <v>590</v>
      </c>
      <c r="C593" s="1">
        <v>45012</v>
      </c>
      <c r="D593" t="s">
        <v>21</v>
      </c>
      <c r="E593" t="s">
        <v>11</v>
      </c>
      <c r="F593">
        <v>20</v>
      </c>
      <c r="G593">
        <v>15</v>
      </c>
      <c r="H593">
        <v>300</v>
      </c>
      <c r="I593" t="s">
        <v>19</v>
      </c>
      <c r="J593" t="s">
        <v>12</v>
      </c>
      <c r="K593" t="s">
        <v>26</v>
      </c>
      <c r="L593">
        <f t="shared" si="27"/>
        <v>2023</v>
      </c>
      <c r="M593" s="13">
        <f t="shared" si="28"/>
        <v>44986</v>
      </c>
      <c r="N593" t="str">
        <f t="shared" si="29"/>
        <v>Online</v>
      </c>
      <c r="O593" t="str">
        <f>IF(Tabla22[[#This Row],[quantity]]&gt;=umbral_grande, "Grande", IF(Tabla22[[#This Row],[quantity]]&gt;=umbral_mediano,"Mediano", "Pequeño"))</f>
        <v>Grande</v>
      </c>
    </row>
    <row r="594" spans="2:15" x14ac:dyDescent="0.25">
      <c r="B594">
        <v>591</v>
      </c>
      <c r="C594" s="1">
        <v>44835</v>
      </c>
      <c r="D594" t="s">
        <v>25</v>
      </c>
      <c r="E594" t="s">
        <v>11</v>
      </c>
      <c r="F594">
        <v>60</v>
      </c>
      <c r="G594">
        <v>13</v>
      </c>
      <c r="H594">
        <v>780</v>
      </c>
      <c r="I594" t="s">
        <v>15</v>
      </c>
      <c r="J594" t="s">
        <v>22</v>
      </c>
      <c r="K594" t="s">
        <v>23</v>
      </c>
      <c r="L594">
        <f t="shared" si="27"/>
        <v>2022</v>
      </c>
      <c r="M594" s="13">
        <f t="shared" si="28"/>
        <v>44835</v>
      </c>
      <c r="N594" t="str">
        <f t="shared" si="29"/>
        <v>Cash</v>
      </c>
      <c r="O594" t="str">
        <f>IF(Tabla22[[#This Row],[quantity]]&gt;=umbral_grande, "Grande", IF(Tabla22[[#This Row],[quantity]]&gt;=umbral_mediano,"Mediano", "Pequeño"))</f>
        <v>Grande</v>
      </c>
    </row>
    <row r="595" spans="2:15" x14ac:dyDescent="0.25">
      <c r="B595">
        <v>592</v>
      </c>
      <c r="C595" s="1">
        <v>44899</v>
      </c>
      <c r="D595" t="s">
        <v>17</v>
      </c>
      <c r="E595" t="s">
        <v>18</v>
      </c>
      <c r="F595">
        <v>25</v>
      </c>
      <c r="G595">
        <v>7</v>
      </c>
      <c r="H595">
        <v>175</v>
      </c>
      <c r="I595" t="s">
        <v>15</v>
      </c>
      <c r="J595" t="s">
        <v>12</v>
      </c>
      <c r="K595" t="s">
        <v>23</v>
      </c>
      <c r="L595">
        <f t="shared" si="27"/>
        <v>2022</v>
      </c>
      <c r="M595" s="13">
        <f t="shared" si="28"/>
        <v>44896</v>
      </c>
      <c r="N595" t="str">
        <f t="shared" si="29"/>
        <v>Cash</v>
      </c>
      <c r="O595" t="str">
        <f>IF(Tabla22[[#This Row],[quantity]]&gt;=umbral_grande, "Grande", IF(Tabla22[[#This Row],[quantity]]&gt;=umbral_mediano,"Mediano", "Pequeño"))</f>
        <v>Mediano</v>
      </c>
    </row>
    <row r="596" spans="2:15" x14ac:dyDescent="0.25">
      <c r="B596">
        <v>593</v>
      </c>
      <c r="C596" s="1">
        <v>44973</v>
      </c>
      <c r="D596" t="s">
        <v>17</v>
      </c>
      <c r="E596" t="s">
        <v>18</v>
      </c>
      <c r="F596">
        <v>25</v>
      </c>
      <c r="G596">
        <v>9</v>
      </c>
      <c r="H596">
        <v>225</v>
      </c>
      <c r="I596" t="s">
        <v>15</v>
      </c>
      <c r="J596" t="s">
        <v>22</v>
      </c>
      <c r="K596" t="s">
        <v>20</v>
      </c>
      <c r="L596">
        <f t="shared" si="27"/>
        <v>2023</v>
      </c>
      <c r="M596" s="13">
        <f t="shared" si="28"/>
        <v>44958</v>
      </c>
      <c r="N596" t="str">
        <f t="shared" si="29"/>
        <v>Cash</v>
      </c>
      <c r="O596" t="str">
        <f>IF(Tabla22[[#This Row],[quantity]]&gt;=umbral_grande, "Grande", IF(Tabla22[[#This Row],[quantity]]&gt;=umbral_mediano,"Mediano", "Pequeño"))</f>
        <v>Mediano</v>
      </c>
    </row>
    <row r="597" spans="2:15" x14ac:dyDescent="0.25">
      <c r="B597">
        <v>594</v>
      </c>
      <c r="C597" s="1">
        <v>44946</v>
      </c>
      <c r="D597" t="s">
        <v>24</v>
      </c>
      <c r="E597" t="s">
        <v>11</v>
      </c>
      <c r="F597">
        <v>50</v>
      </c>
      <c r="G597">
        <v>6</v>
      </c>
      <c r="H597">
        <v>300</v>
      </c>
      <c r="I597" t="s">
        <v>15</v>
      </c>
      <c r="J597" t="s">
        <v>22</v>
      </c>
      <c r="K597" t="s">
        <v>23</v>
      </c>
      <c r="L597">
        <f t="shared" si="27"/>
        <v>2023</v>
      </c>
      <c r="M597" s="13">
        <f t="shared" si="28"/>
        <v>44927</v>
      </c>
      <c r="N597" t="str">
        <f t="shared" si="29"/>
        <v>Cash</v>
      </c>
      <c r="O597" t="str">
        <f>IF(Tabla22[[#This Row],[quantity]]&gt;=umbral_grande, "Grande", IF(Tabla22[[#This Row],[quantity]]&gt;=umbral_mediano,"Mediano", "Pequeño"))</f>
        <v>Mediano</v>
      </c>
    </row>
    <row r="598" spans="2:15" x14ac:dyDescent="0.25">
      <c r="B598">
        <v>595</v>
      </c>
      <c r="C598" s="1">
        <v>44979</v>
      </c>
      <c r="D598" t="s">
        <v>24</v>
      </c>
      <c r="E598" t="s">
        <v>11</v>
      </c>
      <c r="F598">
        <v>50</v>
      </c>
      <c r="G598">
        <v>9</v>
      </c>
      <c r="H598">
        <v>450</v>
      </c>
      <c r="I598" t="s">
        <v>19</v>
      </c>
      <c r="J598" t="s">
        <v>12</v>
      </c>
      <c r="K598" t="s">
        <v>16</v>
      </c>
      <c r="L598">
        <f t="shared" si="27"/>
        <v>2023</v>
      </c>
      <c r="M598" s="13">
        <f t="shared" si="28"/>
        <v>44958</v>
      </c>
      <c r="N598" t="str">
        <f t="shared" si="29"/>
        <v>Online</v>
      </c>
      <c r="O598" t="str">
        <f>IF(Tabla22[[#This Row],[quantity]]&gt;=umbral_grande, "Grande", IF(Tabla22[[#This Row],[quantity]]&gt;=umbral_mediano,"Mediano", "Pequeño"))</f>
        <v>Mediano</v>
      </c>
    </row>
    <row r="599" spans="2:15" x14ac:dyDescent="0.25">
      <c r="B599">
        <v>596</v>
      </c>
      <c r="C599" s="1">
        <v>44677</v>
      </c>
      <c r="D599" t="s">
        <v>27</v>
      </c>
      <c r="E599" t="s">
        <v>18</v>
      </c>
      <c r="F599">
        <v>40</v>
      </c>
      <c r="G599">
        <v>1</v>
      </c>
      <c r="H599">
        <v>40</v>
      </c>
      <c r="I599" t="s">
        <v>19</v>
      </c>
      <c r="J599" t="s">
        <v>22</v>
      </c>
      <c r="K599" t="s">
        <v>13</v>
      </c>
      <c r="L599">
        <f t="shared" si="27"/>
        <v>2022</v>
      </c>
      <c r="M599" s="13">
        <f t="shared" si="28"/>
        <v>44652</v>
      </c>
      <c r="N599" t="str">
        <f t="shared" si="29"/>
        <v>Online</v>
      </c>
      <c r="O599" t="str">
        <f>IF(Tabla22[[#This Row],[quantity]]&gt;=umbral_grande, "Grande", IF(Tabla22[[#This Row],[quantity]]&gt;=umbral_mediano,"Mediano", "Pequeño"))</f>
        <v>Pequeño</v>
      </c>
    </row>
    <row r="600" spans="2:15" x14ac:dyDescent="0.25">
      <c r="B600">
        <v>597</v>
      </c>
      <c r="C600" s="1">
        <v>44895</v>
      </c>
      <c r="D600" t="s">
        <v>21</v>
      </c>
      <c r="E600" t="s">
        <v>11</v>
      </c>
      <c r="F600">
        <v>20</v>
      </c>
      <c r="G600">
        <v>10</v>
      </c>
      <c r="H600">
        <v>200</v>
      </c>
      <c r="I600" t="s">
        <v>19</v>
      </c>
      <c r="J600" t="s">
        <v>12</v>
      </c>
      <c r="K600" t="s">
        <v>26</v>
      </c>
      <c r="L600">
        <f t="shared" si="27"/>
        <v>2022</v>
      </c>
      <c r="M600" s="13">
        <f t="shared" si="28"/>
        <v>44866</v>
      </c>
      <c r="N600" t="str">
        <f t="shared" si="29"/>
        <v>Online</v>
      </c>
      <c r="O600" t="str">
        <f>IF(Tabla22[[#This Row],[quantity]]&gt;=umbral_grande, "Grande", IF(Tabla22[[#This Row],[quantity]]&gt;=umbral_mediano,"Mediano", "Pequeño"))</f>
        <v>Mediano</v>
      </c>
    </row>
    <row r="601" spans="2:15" x14ac:dyDescent="0.25">
      <c r="B601">
        <v>598</v>
      </c>
      <c r="C601" s="1">
        <v>44775</v>
      </c>
      <c r="D601" t="s">
        <v>27</v>
      </c>
      <c r="E601" t="s">
        <v>18</v>
      </c>
      <c r="F601">
        <v>40</v>
      </c>
      <c r="G601">
        <v>8</v>
      </c>
      <c r="H601">
        <v>320</v>
      </c>
      <c r="I601" t="s">
        <v>15</v>
      </c>
      <c r="J601" t="s">
        <v>22</v>
      </c>
      <c r="K601" t="s">
        <v>16</v>
      </c>
      <c r="L601">
        <f t="shared" si="27"/>
        <v>2022</v>
      </c>
      <c r="M601" s="13">
        <f t="shared" si="28"/>
        <v>44774</v>
      </c>
      <c r="N601" t="str">
        <f t="shared" si="29"/>
        <v>Cash</v>
      </c>
      <c r="O601" t="str">
        <f>IF(Tabla22[[#This Row],[quantity]]&gt;=umbral_grande, "Grande", IF(Tabla22[[#This Row],[quantity]]&gt;=umbral_mediano,"Mediano", "Pequeño"))</f>
        <v>Mediano</v>
      </c>
    </row>
    <row r="602" spans="2:15" x14ac:dyDescent="0.25">
      <c r="B602">
        <v>599</v>
      </c>
      <c r="C602" s="1">
        <v>44837</v>
      </c>
      <c r="D602" t="s">
        <v>24</v>
      </c>
      <c r="E602" t="s">
        <v>11</v>
      </c>
      <c r="F602">
        <v>50</v>
      </c>
      <c r="G602">
        <v>13</v>
      </c>
      <c r="H602">
        <v>650</v>
      </c>
      <c r="I602" t="s">
        <v>15</v>
      </c>
      <c r="J602" t="s">
        <v>12</v>
      </c>
      <c r="K602" t="s">
        <v>23</v>
      </c>
      <c r="L602">
        <f t="shared" si="27"/>
        <v>2022</v>
      </c>
      <c r="M602" s="13">
        <f t="shared" si="28"/>
        <v>44835</v>
      </c>
      <c r="N602" t="str">
        <f t="shared" si="29"/>
        <v>Cash</v>
      </c>
      <c r="O602" t="str">
        <f>IF(Tabla22[[#This Row],[quantity]]&gt;=umbral_grande, "Grande", IF(Tabla22[[#This Row],[quantity]]&gt;=umbral_mediano,"Mediano", "Pequeño"))</f>
        <v>Grande</v>
      </c>
    </row>
    <row r="603" spans="2:15" x14ac:dyDescent="0.25">
      <c r="B603">
        <v>600</v>
      </c>
      <c r="C603" s="1">
        <v>44919</v>
      </c>
      <c r="D603" t="s">
        <v>21</v>
      </c>
      <c r="E603" t="s">
        <v>11</v>
      </c>
      <c r="F603">
        <v>20</v>
      </c>
      <c r="G603">
        <v>6</v>
      </c>
      <c r="H603">
        <v>120</v>
      </c>
      <c r="I603" t="s">
        <v>15</v>
      </c>
      <c r="J603" t="s">
        <v>22</v>
      </c>
      <c r="K603" t="s">
        <v>23</v>
      </c>
      <c r="L603">
        <f t="shared" si="27"/>
        <v>2022</v>
      </c>
      <c r="M603" s="13">
        <f t="shared" si="28"/>
        <v>44896</v>
      </c>
      <c r="N603" t="str">
        <f t="shared" si="29"/>
        <v>Cash</v>
      </c>
      <c r="O603" t="str">
        <f>IF(Tabla22[[#This Row],[quantity]]&gt;=umbral_grande, "Grande", IF(Tabla22[[#This Row],[quantity]]&gt;=umbral_mediano,"Mediano", "Pequeño"))</f>
        <v>Mediano</v>
      </c>
    </row>
    <row r="604" spans="2:15" x14ac:dyDescent="0.25">
      <c r="B604">
        <v>601</v>
      </c>
      <c r="C604" s="1">
        <v>44866</v>
      </c>
      <c r="D604" t="s">
        <v>10</v>
      </c>
      <c r="E604" t="s">
        <v>11</v>
      </c>
      <c r="F604">
        <v>20</v>
      </c>
      <c r="G604">
        <v>12</v>
      </c>
      <c r="H604">
        <v>240</v>
      </c>
      <c r="I604" t="s">
        <v>19</v>
      </c>
      <c r="J604" t="s">
        <v>12</v>
      </c>
      <c r="K604" t="s">
        <v>23</v>
      </c>
      <c r="L604">
        <f t="shared" si="27"/>
        <v>2022</v>
      </c>
      <c r="M604" s="13">
        <f t="shared" si="28"/>
        <v>44866</v>
      </c>
      <c r="N604" t="str">
        <f t="shared" si="29"/>
        <v>Online</v>
      </c>
      <c r="O604" t="str">
        <f>IF(Tabla22[[#This Row],[quantity]]&gt;=umbral_grande, "Grande", IF(Tabla22[[#This Row],[quantity]]&gt;=umbral_mediano,"Mediano", "Pequeño"))</f>
        <v>Grande</v>
      </c>
    </row>
    <row r="605" spans="2:15" x14ac:dyDescent="0.25">
      <c r="B605">
        <v>602</v>
      </c>
      <c r="C605" s="1">
        <v>44800</v>
      </c>
      <c r="D605" t="s">
        <v>10</v>
      </c>
      <c r="E605" t="s">
        <v>11</v>
      </c>
      <c r="F605">
        <v>20</v>
      </c>
      <c r="G605">
        <v>10</v>
      </c>
      <c r="H605">
        <v>200</v>
      </c>
      <c r="I605" t="s">
        <v>15</v>
      </c>
      <c r="J605" t="s">
        <v>12</v>
      </c>
      <c r="K605" t="s">
        <v>13</v>
      </c>
      <c r="L605">
        <f t="shared" si="27"/>
        <v>2022</v>
      </c>
      <c r="M605" s="13">
        <f t="shared" si="28"/>
        <v>44774</v>
      </c>
      <c r="N605" t="str">
        <f t="shared" si="29"/>
        <v>Cash</v>
      </c>
      <c r="O605" t="str">
        <f>IF(Tabla22[[#This Row],[quantity]]&gt;=umbral_grande, "Grande", IF(Tabla22[[#This Row],[quantity]]&gt;=umbral_mediano,"Mediano", "Pequeño"))</f>
        <v>Mediano</v>
      </c>
    </row>
    <row r="606" spans="2:15" x14ac:dyDescent="0.25">
      <c r="B606">
        <v>603</v>
      </c>
      <c r="C606" s="1">
        <v>44804</v>
      </c>
      <c r="D606" t="s">
        <v>14</v>
      </c>
      <c r="E606" t="s">
        <v>11</v>
      </c>
      <c r="F606">
        <v>20</v>
      </c>
      <c r="G606">
        <v>10</v>
      </c>
      <c r="H606">
        <v>200</v>
      </c>
      <c r="I606" t="s">
        <v>15</v>
      </c>
      <c r="J606" t="s">
        <v>22</v>
      </c>
      <c r="K606" t="s">
        <v>16</v>
      </c>
      <c r="L606">
        <f t="shared" si="27"/>
        <v>2022</v>
      </c>
      <c r="M606" s="13">
        <f t="shared" si="28"/>
        <v>44774</v>
      </c>
      <c r="N606" t="str">
        <f t="shared" si="29"/>
        <v>Cash</v>
      </c>
      <c r="O606" t="str">
        <f>IF(Tabla22[[#This Row],[quantity]]&gt;=umbral_grande, "Grande", IF(Tabla22[[#This Row],[quantity]]&gt;=umbral_mediano,"Mediano", "Pequeño"))</f>
        <v>Mediano</v>
      </c>
    </row>
    <row r="607" spans="2:15" x14ac:dyDescent="0.25">
      <c r="B607">
        <v>604</v>
      </c>
      <c r="C607" s="1">
        <v>44812</v>
      </c>
      <c r="D607" t="s">
        <v>24</v>
      </c>
      <c r="E607" t="s">
        <v>11</v>
      </c>
      <c r="F607">
        <v>50</v>
      </c>
      <c r="G607">
        <v>10</v>
      </c>
      <c r="H607">
        <v>500</v>
      </c>
      <c r="I607" t="s">
        <v>15</v>
      </c>
      <c r="J607" t="s">
        <v>22</v>
      </c>
      <c r="K607" t="s">
        <v>13</v>
      </c>
      <c r="L607">
        <f t="shared" si="27"/>
        <v>2022</v>
      </c>
      <c r="M607" s="13">
        <f t="shared" si="28"/>
        <v>44805</v>
      </c>
      <c r="N607" t="str">
        <f t="shared" si="29"/>
        <v>Cash</v>
      </c>
      <c r="O607" t="str">
        <f>IF(Tabla22[[#This Row],[quantity]]&gt;=umbral_grande, "Grande", IF(Tabla22[[#This Row],[quantity]]&gt;=umbral_mediano,"Mediano", "Pequeño"))</f>
        <v>Mediano</v>
      </c>
    </row>
    <row r="608" spans="2:15" x14ac:dyDescent="0.25">
      <c r="B608">
        <v>605</v>
      </c>
      <c r="C608" s="1">
        <v>44655</v>
      </c>
      <c r="D608" t="s">
        <v>27</v>
      </c>
      <c r="E608" t="s">
        <v>18</v>
      </c>
      <c r="F608">
        <v>40</v>
      </c>
      <c r="G608">
        <v>15</v>
      </c>
      <c r="H608">
        <v>600</v>
      </c>
      <c r="J608" t="s">
        <v>22</v>
      </c>
      <c r="K608" t="s">
        <v>16</v>
      </c>
      <c r="L608">
        <f t="shared" si="27"/>
        <v>2022</v>
      </c>
      <c r="M608" s="13">
        <f t="shared" si="28"/>
        <v>44652</v>
      </c>
      <c r="N608" t="str">
        <f t="shared" si="29"/>
        <v>Sin registrar</v>
      </c>
      <c r="O608" t="str">
        <f>IF(Tabla22[[#This Row],[quantity]]&gt;=umbral_grande, "Grande", IF(Tabla22[[#This Row],[quantity]]&gt;=umbral_mediano,"Mediano", "Pequeño"))</f>
        <v>Grande</v>
      </c>
    </row>
    <row r="609" spans="2:15" x14ac:dyDescent="0.25">
      <c r="B609">
        <v>606</v>
      </c>
      <c r="C609" s="1">
        <v>44660</v>
      </c>
      <c r="D609" t="s">
        <v>27</v>
      </c>
      <c r="E609" t="s">
        <v>18</v>
      </c>
      <c r="F609">
        <v>40</v>
      </c>
      <c r="G609">
        <v>6</v>
      </c>
      <c r="H609">
        <v>240</v>
      </c>
      <c r="I609" t="s">
        <v>15</v>
      </c>
      <c r="J609" t="s">
        <v>22</v>
      </c>
      <c r="K609" t="s">
        <v>13</v>
      </c>
      <c r="L609">
        <f t="shared" si="27"/>
        <v>2022</v>
      </c>
      <c r="M609" s="13">
        <f t="shared" si="28"/>
        <v>44652</v>
      </c>
      <c r="N609" t="str">
        <f t="shared" si="29"/>
        <v>Cash</v>
      </c>
      <c r="O609" t="str">
        <f>IF(Tabla22[[#This Row],[quantity]]&gt;=umbral_grande, "Grande", IF(Tabla22[[#This Row],[quantity]]&gt;=umbral_mediano,"Mediano", "Pequeño"))</f>
        <v>Mediano</v>
      </c>
    </row>
    <row r="610" spans="2:15" x14ac:dyDescent="0.25">
      <c r="B610">
        <v>607</v>
      </c>
      <c r="C610" s="1">
        <v>44910</v>
      </c>
      <c r="D610" t="s">
        <v>14</v>
      </c>
      <c r="E610" t="s">
        <v>11</v>
      </c>
      <c r="F610">
        <v>20</v>
      </c>
      <c r="G610">
        <v>9</v>
      </c>
      <c r="H610">
        <v>180</v>
      </c>
      <c r="I610" t="s">
        <v>15</v>
      </c>
      <c r="J610" t="s">
        <v>22</v>
      </c>
      <c r="K610" t="s">
        <v>16</v>
      </c>
      <c r="L610">
        <f t="shared" si="27"/>
        <v>2022</v>
      </c>
      <c r="M610" s="13">
        <f t="shared" si="28"/>
        <v>44896</v>
      </c>
      <c r="N610" t="str">
        <f t="shared" si="29"/>
        <v>Cash</v>
      </c>
      <c r="O610" t="str">
        <f>IF(Tabla22[[#This Row],[quantity]]&gt;=umbral_grande, "Grande", IF(Tabla22[[#This Row],[quantity]]&gt;=umbral_mediano,"Mediano", "Pequeño"))</f>
        <v>Mediano</v>
      </c>
    </row>
    <row r="611" spans="2:15" x14ac:dyDescent="0.25">
      <c r="B611">
        <v>608</v>
      </c>
      <c r="C611" s="1">
        <v>44985</v>
      </c>
      <c r="D611" t="s">
        <v>10</v>
      </c>
      <c r="E611" t="s">
        <v>11</v>
      </c>
      <c r="F611">
        <v>20</v>
      </c>
      <c r="G611">
        <v>1</v>
      </c>
      <c r="H611">
        <v>20</v>
      </c>
      <c r="I611" t="s">
        <v>19</v>
      </c>
      <c r="J611" t="s">
        <v>12</v>
      </c>
      <c r="K611" t="s">
        <v>26</v>
      </c>
      <c r="L611">
        <f t="shared" si="27"/>
        <v>2023</v>
      </c>
      <c r="M611" s="13">
        <f t="shared" si="28"/>
        <v>44958</v>
      </c>
      <c r="N611" t="str">
        <f t="shared" si="29"/>
        <v>Online</v>
      </c>
      <c r="O611" t="str">
        <f>IF(Tabla22[[#This Row],[quantity]]&gt;=umbral_grande, "Grande", IF(Tabla22[[#This Row],[quantity]]&gt;=umbral_mediano,"Mediano", "Pequeño"))</f>
        <v>Pequeño</v>
      </c>
    </row>
    <row r="612" spans="2:15" x14ac:dyDescent="0.25">
      <c r="B612">
        <v>609</v>
      </c>
      <c r="C612" s="1">
        <v>44964</v>
      </c>
      <c r="D612" t="s">
        <v>10</v>
      </c>
      <c r="E612" t="s">
        <v>11</v>
      </c>
      <c r="F612">
        <v>20</v>
      </c>
      <c r="G612">
        <v>14</v>
      </c>
      <c r="H612">
        <v>280</v>
      </c>
      <c r="J612" t="s">
        <v>12</v>
      </c>
      <c r="K612" t="s">
        <v>26</v>
      </c>
      <c r="L612">
        <f t="shared" si="27"/>
        <v>2023</v>
      </c>
      <c r="M612" s="13">
        <f t="shared" si="28"/>
        <v>44958</v>
      </c>
      <c r="N612" t="str">
        <f t="shared" si="29"/>
        <v>Sin registrar</v>
      </c>
      <c r="O612" t="str">
        <f>IF(Tabla22[[#This Row],[quantity]]&gt;=umbral_grande, "Grande", IF(Tabla22[[#This Row],[quantity]]&gt;=umbral_mediano,"Mediano", "Pequeño"))</f>
        <v>Grande</v>
      </c>
    </row>
    <row r="613" spans="2:15" x14ac:dyDescent="0.25">
      <c r="B613">
        <v>610</v>
      </c>
      <c r="C613" s="1">
        <v>44689</v>
      </c>
      <c r="D613" t="s">
        <v>24</v>
      </c>
      <c r="E613" t="s">
        <v>11</v>
      </c>
      <c r="F613">
        <v>50</v>
      </c>
      <c r="G613">
        <v>13</v>
      </c>
      <c r="H613">
        <v>650</v>
      </c>
      <c r="I613" t="s">
        <v>19</v>
      </c>
      <c r="J613" t="s">
        <v>22</v>
      </c>
      <c r="K613" t="s">
        <v>20</v>
      </c>
      <c r="L613">
        <f t="shared" si="27"/>
        <v>2022</v>
      </c>
      <c r="M613" s="13">
        <f t="shared" si="28"/>
        <v>44682</v>
      </c>
      <c r="N613" t="str">
        <f t="shared" si="29"/>
        <v>Online</v>
      </c>
      <c r="O613" t="str">
        <f>IF(Tabla22[[#This Row],[quantity]]&gt;=umbral_grande, "Grande", IF(Tabla22[[#This Row],[quantity]]&gt;=umbral_mediano,"Mediano", "Pequeño"))</f>
        <v>Grande</v>
      </c>
    </row>
    <row r="614" spans="2:15" x14ac:dyDescent="0.25">
      <c r="B614">
        <v>611</v>
      </c>
      <c r="C614" s="1">
        <v>44737</v>
      </c>
      <c r="D614" t="s">
        <v>10</v>
      </c>
      <c r="E614" t="s">
        <v>11</v>
      </c>
      <c r="F614">
        <v>20</v>
      </c>
      <c r="G614">
        <v>2</v>
      </c>
      <c r="H614">
        <v>40</v>
      </c>
      <c r="I614" t="s">
        <v>19</v>
      </c>
      <c r="J614" t="s">
        <v>22</v>
      </c>
      <c r="K614" t="s">
        <v>23</v>
      </c>
      <c r="L614">
        <f t="shared" si="27"/>
        <v>2022</v>
      </c>
      <c r="M614" s="13">
        <f t="shared" si="28"/>
        <v>44713</v>
      </c>
      <c r="N614" t="str">
        <f t="shared" si="29"/>
        <v>Online</v>
      </c>
      <c r="O614" t="str">
        <f>IF(Tabla22[[#This Row],[quantity]]&gt;=umbral_grande, "Grande", IF(Tabla22[[#This Row],[quantity]]&gt;=umbral_mediano,"Mediano", "Pequeño"))</f>
        <v>Pequeño</v>
      </c>
    </row>
    <row r="615" spans="2:15" x14ac:dyDescent="0.25">
      <c r="B615">
        <v>612</v>
      </c>
      <c r="C615" s="1">
        <v>44963</v>
      </c>
      <c r="D615" t="s">
        <v>10</v>
      </c>
      <c r="E615" t="s">
        <v>11</v>
      </c>
      <c r="F615">
        <v>20</v>
      </c>
      <c r="G615">
        <v>3</v>
      </c>
      <c r="H615">
        <v>60</v>
      </c>
      <c r="I615" t="s">
        <v>19</v>
      </c>
      <c r="J615" t="s">
        <v>12</v>
      </c>
      <c r="K615" t="s">
        <v>26</v>
      </c>
      <c r="L615">
        <f t="shared" si="27"/>
        <v>2023</v>
      </c>
      <c r="M615" s="13">
        <f t="shared" si="28"/>
        <v>44958</v>
      </c>
      <c r="N615" t="str">
        <f t="shared" si="29"/>
        <v>Online</v>
      </c>
      <c r="O615" t="str">
        <f>IF(Tabla22[[#This Row],[quantity]]&gt;=umbral_grande, "Grande", IF(Tabla22[[#This Row],[quantity]]&gt;=umbral_mediano,"Mediano", "Pequeño"))</f>
        <v>Pequeño</v>
      </c>
    </row>
    <row r="616" spans="2:15" x14ac:dyDescent="0.25">
      <c r="B616">
        <v>613</v>
      </c>
      <c r="C616" s="1">
        <v>44722</v>
      </c>
      <c r="D616" t="s">
        <v>14</v>
      </c>
      <c r="E616" t="s">
        <v>11</v>
      </c>
      <c r="F616">
        <v>20</v>
      </c>
      <c r="G616">
        <v>5</v>
      </c>
      <c r="H616">
        <v>100</v>
      </c>
      <c r="I616" t="s">
        <v>19</v>
      </c>
      <c r="J616" t="s">
        <v>22</v>
      </c>
      <c r="K616" t="s">
        <v>13</v>
      </c>
      <c r="L616">
        <f t="shared" si="27"/>
        <v>2022</v>
      </c>
      <c r="M616" s="13">
        <f t="shared" si="28"/>
        <v>44713</v>
      </c>
      <c r="N616" t="str">
        <f t="shared" si="29"/>
        <v>Online</v>
      </c>
      <c r="O616" t="str">
        <f>IF(Tabla22[[#This Row],[quantity]]&gt;=umbral_grande, "Grande", IF(Tabla22[[#This Row],[quantity]]&gt;=umbral_mediano,"Mediano", "Pequeño"))</f>
        <v>Pequeño</v>
      </c>
    </row>
    <row r="617" spans="2:15" x14ac:dyDescent="0.25">
      <c r="B617">
        <v>614</v>
      </c>
      <c r="C617" s="1">
        <v>44914</v>
      </c>
      <c r="D617" t="s">
        <v>14</v>
      </c>
      <c r="E617" t="s">
        <v>11</v>
      </c>
      <c r="F617">
        <v>20</v>
      </c>
      <c r="G617">
        <v>2</v>
      </c>
      <c r="H617">
        <v>40</v>
      </c>
      <c r="J617" t="s">
        <v>12</v>
      </c>
      <c r="K617" t="s">
        <v>23</v>
      </c>
      <c r="L617">
        <f t="shared" si="27"/>
        <v>2022</v>
      </c>
      <c r="M617" s="13">
        <f t="shared" si="28"/>
        <v>44896</v>
      </c>
      <c r="N617" t="str">
        <f t="shared" si="29"/>
        <v>Sin registrar</v>
      </c>
      <c r="O617" t="str">
        <f>IF(Tabla22[[#This Row],[quantity]]&gt;=umbral_grande, "Grande", IF(Tabla22[[#This Row],[quantity]]&gt;=umbral_mediano,"Mediano", "Pequeño"))</f>
        <v>Pequeño</v>
      </c>
    </row>
    <row r="618" spans="2:15" x14ac:dyDescent="0.25">
      <c r="B618">
        <v>615</v>
      </c>
      <c r="C618" s="1">
        <v>44787</v>
      </c>
      <c r="D618" t="s">
        <v>25</v>
      </c>
      <c r="E618" t="s">
        <v>11</v>
      </c>
      <c r="F618">
        <v>60</v>
      </c>
      <c r="G618">
        <v>14</v>
      </c>
      <c r="H618">
        <v>840</v>
      </c>
      <c r="J618" t="s">
        <v>12</v>
      </c>
      <c r="K618" t="s">
        <v>23</v>
      </c>
      <c r="L618">
        <f t="shared" si="27"/>
        <v>2022</v>
      </c>
      <c r="M618" s="13">
        <f t="shared" si="28"/>
        <v>44774</v>
      </c>
      <c r="N618" t="str">
        <f t="shared" si="29"/>
        <v>Sin registrar</v>
      </c>
      <c r="O618" t="str">
        <f>IF(Tabla22[[#This Row],[quantity]]&gt;=umbral_grande, "Grande", IF(Tabla22[[#This Row],[quantity]]&gt;=umbral_mediano,"Mediano", "Pequeño"))</f>
        <v>Grande</v>
      </c>
    </row>
    <row r="619" spans="2:15" x14ac:dyDescent="0.25">
      <c r="B619">
        <v>616</v>
      </c>
      <c r="C619" s="1">
        <v>44757</v>
      </c>
      <c r="D619" t="s">
        <v>14</v>
      </c>
      <c r="E619" t="s">
        <v>11</v>
      </c>
      <c r="F619">
        <v>20</v>
      </c>
      <c r="G619">
        <v>6</v>
      </c>
      <c r="H619">
        <v>120</v>
      </c>
      <c r="I619" t="s">
        <v>19</v>
      </c>
      <c r="J619" t="s">
        <v>22</v>
      </c>
      <c r="K619" t="s">
        <v>26</v>
      </c>
      <c r="L619">
        <f t="shared" si="27"/>
        <v>2022</v>
      </c>
      <c r="M619" s="13">
        <f t="shared" si="28"/>
        <v>44743</v>
      </c>
      <c r="N619" t="str">
        <f t="shared" si="29"/>
        <v>Online</v>
      </c>
      <c r="O619" t="str">
        <f>IF(Tabla22[[#This Row],[quantity]]&gt;=umbral_grande, "Grande", IF(Tabla22[[#This Row],[quantity]]&gt;=umbral_mediano,"Mediano", "Pequeño"))</f>
        <v>Mediano</v>
      </c>
    </row>
    <row r="620" spans="2:15" x14ac:dyDescent="0.25">
      <c r="B620">
        <v>617</v>
      </c>
      <c r="C620" s="1">
        <v>44740</v>
      </c>
      <c r="D620" t="s">
        <v>17</v>
      </c>
      <c r="E620" t="s">
        <v>18</v>
      </c>
      <c r="F620">
        <v>25</v>
      </c>
      <c r="G620">
        <v>2</v>
      </c>
      <c r="H620">
        <v>50</v>
      </c>
      <c r="I620" t="s">
        <v>15</v>
      </c>
      <c r="J620" t="s">
        <v>12</v>
      </c>
      <c r="K620" t="s">
        <v>13</v>
      </c>
      <c r="L620">
        <f t="shared" si="27"/>
        <v>2022</v>
      </c>
      <c r="M620" s="13">
        <f t="shared" si="28"/>
        <v>44713</v>
      </c>
      <c r="N620" t="str">
        <f t="shared" si="29"/>
        <v>Cash</v>
      </c>
      <c r="O620" t="str">
        <f>IF(Tabla22[[#This Row],[quantity]]&gt;=umbral_grande, "Grande", IF(Tabla22[[#This Row],[quantity]]&gt;=umbral_mediano,"Mediano", "Pequeño"))</f>
        <v>Pequeño</v>
      </c>
    </row>
    <row r="621" spans="2:15" x14ac:dyDescent="0.25">
      <c r="B621">
        <v>618</v>
      </c>
      <c r="C621" s="1">
        <v>44659</v>
      </c>
      <c r="D621" t="s">
        <v>24</v>
      </c>
      <c r="E621" t="s">
        <v>11</v>
      </c>
      <c r="F621">
        <v>50</v>
      </c>
      <c r="G621">
        <v>1</v>
      </c>
      <c r="H621">
        <v>50</v>
      </c>
      <c r="I621" t="s">
        <v>19</v>
      </c>
      <c r="J621" t="s">
        <v>12</v>
      </c>
      <c r="K621" t="s">
        <v>20</v>
      </c>
      <c r="L621">
        <f t="shared" si="27"/>
        <v>2022</v>
      </c>
      <c r="M621" s="13">
        <f t="shared" si="28"/>
        <v>44652</v>
      </c>
      <c r="N621" t="str">
        <f t="shared" si="29"/>
        <v>Online</v>
      </c>
      <c r="O621" t="str">
        <f>IF(Tabla22[[#This Row],[quantity]]&gt;=umbral_grande, "Grande", IF(Tabla22[[#This Row],[quantity]]&gt;=umbral_mediano,"Mediano", "Pequeño"))</f>
        <v>Pequeño</v>
      </c>
    </row>
    <row r="622" spans="2:15" x14ac:dyDescent="0.25">
      <c r="B622">
        <v>619</v>
      </c>
      <c r="C622" s="1">
        <v>44813</v>
      </c>
      <c r="D622" t="s">
        <v>17</v>
      </c>
      <c r="E622" t="s">
        <v>18</v>
      </c>
      <c r="F622">
        <v>25</v>
      </c>
      <c r="G622">
        <v>4</v>
      </c>
      <c r="H622">
        <v>100</v>
      </c>
      <c r="I622" t="s">
        <v>15</v>
      </c>
      <c r="J622" t="s">
        <v>22</v>
      </c>
      <c r="K622" t="s">
        <v>23</v>
      </c>
      <c r="L622">
        <f t="shared" si="27"/>
        <v>2022</v>
      </c>
      <c r="M622" s="13">
        <f t="shared" si="28"/>
        <v>44805</v>
      </c>
      <c r="N622" t="str">
        <f t="shared" si="29"/>
        <v>Cash</v>
      </c>
      <c r="O622" t="str">
        <f>IF(Tabla22[[#This Row],[quantity]]&gt;=umbral_grande, "Grande", IF(Tabla22[[#This Row],[quantity]]&gt;=umbral_mediano,"Mediano", "Pequeño"))</f>
        <v>Pequeño</v>
      </c>
    </row>
    <row r="623" spans="2:15" x14ac:dyDescent="0.25">
      <c r="B623">
        <v>620</v>
      </c>
      <c r="C623" s="1">
        <v>44818</v>
      </c>
      <c r="D623" t="s">
        <v>21</v>
      </c>
      <c r="E623" t="s">
        <v>11</v>
      </c>
      <c r="F623">
        <v>20</v>
      </c>
      <c r="G623">
        <v>12</v>
      </c>
      <c r="H623">
        <v>240</v>
      </c>
      <c r="I623" t="s">
        <v>19</v>
      </c>
      <c r="J623" t="s">
        <v>22</v>
      </c>
      <c r="K623" t="s">
        <v>20</v>
      </c>
      <c r="L623">
        <f t="shared" si="27"/>
        <v>2022</v>
      </c>
      <c r="M623" s="13">
        <f t="shared" si="28"/>
        <v>44805</v>
      </c>
      <c r="N623" t="str">
        <f t="shared" si="29"/>
        <v>Online</v>
      </c>
      <c r="O623" t="str">
        <f>IF(Tabla22[[#This Row],[quantity]]&gt;=umbral_grande, "Grande", IF(Tabla22[[#This Row],[quantity]]&gt;=umbral_mediano,"Mediano", "Pequeño"))</f>
        <v>Grande</v>
      </c>
    </row>
    <row r="624" spans="2:15" x14ac:dyDescent="0.25">
      <c r="B624">
        <v>621</v>
      </c>
      <c r="C624" s="1">
        <v>44970</v>
      </c>
      <c r="D624" t="s">
        <v>10</v>
      </c>
      <c r="E624" t="s">
        <v>11</v>
      </c>
      <c r="F624">
        <v>20</v>
      </c>
      <c r="G624">
        <v>2</v>
      </c>
      <c r="H624">
        <v>40</v>
      </c>
      <c r="I624" t="s">
        <v>19</v>
      </c>
      <c r="J624" t="s">
        <v>22</v>
      </c>
      <c r="K624" t="s">
        <v>20</v>
      </c>
      <c r="L624">
        <f t="shared" si="27"/>
        <v>2023</v>
      </c>
      <c r="M624" s="13">
        <f t="shared" si="28"/>
        <v>44958</v>
      </c>
      <c r="N624" t="str">
        <f t="shared" si="29"/>
        <v>Online</v>
      </c>
      <c r="O624" t="str">
        <f>IF(Tabla22[[#This Row],[quantity]]&gt;=umbral_grande, "Grande", IF(Tabla22[[#This Row],[quantity]]&gt;=umbral_mediano,"Mediano", "Pequeño"))</f>
        <v>Pequeño</v>
      </c>
    </row>
    <row r="625" spans="2:15" x14ac:dyDescent="0.25">
      <c r="B625">
        <v>622</v>
      </c>
      <c r="C625" s="1">
        <v>44909</v>
      </c>
      <c r="D625" t="s">
        <v>21</v>
      </c>
      <c r="E625" t="s">
        <v>11</v>
      </c>
      <c r="F625">
        <v>20</v>
      </c>
      <c r="G625">
        <v>13</v>
      </c>
      <c r="H625">
        <v>260</v>
      </c>
      <c r="I625" t="s">
        <v>19</v>
      </c>
      <c r="J625" t="s">
        <v>12</v>
      </c>
      <c r="K625" t="s">
        <v>16</v>
      </c>
      <c r="L625">
        <f t="shared" si="27"/>
        <v>2022</v>
      </c>
      <c r="M625" s="13">
        <f t="shared" si="28"/>
        <v>44896</v>
      </c>
      <c r="N625" t="str">
        <f t="shared" si="29"/>
        <v>Online</v>
      </c>
      <c r="O625" t="str">
        <f>IF(Tabla22[[#This Row],[quantity]]&gt;=umbral_grande, "Grande", IF(Tabla22[[#This Row],[quantity]]&gt;=umbral_mediano,"Mediano", "Pequeño"))</f>
        <v>Grande</v>
      </c>
    </row>
    <row r="626" spans="2:15" x14ac:dyDescent="0.25">
      <c r="B626">
        <v>623</v>
      </c>
      <c r="C626" s="1">
        <v>44653</v>
      </c>
      <c r="D626" t="s">
        <v>27</v>
      </c>
      <c r="E626" t="s">
        <v>18</v>
      </c>
      <c r="F626">
        <v>40</v>
      </c>
      <c r="G626">
        <v>15</v>
      </c>
      <c r="H626">
        <v>600</v>
      </c>
      <c r="I626" t="s">
        <v>15</v>
      </c>
      <c r="J626" t="s">
        <v>12</v>
      </c>
      <c r="K626" t="s">
        <v>26</v>
      </c>
      <c r="L626">
        <f t="shared" si="27"/>
        <v>2022</v>
      </c>
      <c r="M626" s="13">
        <f t="shared" si="28"/>
        <v>44652</v>
      </c>
      <c r="N626" t="str">
        <f t="shared" si="29"/>
        <v>Cash</v>
      </c>
      <c r="O626" t="str">
        <f>IF(Tabla22[[#This Row],[quantity]]&gt;=umbral_grande, "Grande", IF(Tabla22[[#This Row],[quantity]]&gt;=umbral_mediano,"Mediano", "Pequeño"))</f>
        <v>Grande</v>
      </c>
    </row>
    <row r="627" spans="2:15" x14ac:dyDescent="0.25">
      <c r="B627">
        <v>624</v>
      </c>
      <c r="C627" s="1">
        <v>44993</v>
      </c>
      <c r="D627" t="s">
        <v>25</v>
      </c>
      <c r="E627" t="s">
        <v>11</v>
      </c>
      <c r="F627">
        <v>60</v>
      </c>
      <c r="G627">
        <v>9</v>
      </c>
      <c r="H627">
        <v>540</v>
      </c>
      <c r="I627" t="s">
        <v>15</v>
      </c>
      <c r="J627" t="s">
        <v>22</v>
      </c>
      <c r="K627" t="s">
        <v>23</v>
      </c>
      <c r="L627">
        <f t="shared" si="27"/>
        <v>2023</v>
      </c>
      <c r="M627" s="13">
        <f t="shared" si="28"/>
        <v>44986</v>
      </c>
      <c r="N627" t="str">
        <f t="shared" si="29"/>
        <v>Cash</v>
      </c>
      <c r="O627" t="str">
        <f>IF(Tabla22[[#This Row],[quantity]]&gt;=umbral_grande, "Grande", IF(Tabla22[[#This Row],[quantity]]&gt;=umbral_mediano,"Mediano", "Pequeño"))</f>
        <v>Mediano</v>
      </c>
    </row>
    <row r="628" spans="2:15" x14ac:dyDescent="0.25">
      <c r="B628">
        <v>625</v>
      </c>
      <c r="C628" s="1">
        <v>44729</v>
      </c>
      <c r="D628" t="s">
        <v>25</v>
      </c>
      <c r="E628" t="s">
        <v>11</v>
      </c>
      <c r="F628">
        <v>60</v>
      </c>
      <c r="G628">
        <v>15</v>
      </c>
      <c r="H628">
        <v>900</v>
      </c>
      <c r="I628" t="s">
        <v>19</v>
      </c>
      <c r="J628" t="s">
        <v>12</v>
      </c>
      <c r="K628" t="s">
        <v>23</v>
      </c>
      <c r="L628">
        <f t="shared" si="27"/>
        <v>2022</v>
      </c>
      <c r="M628" s="13">
        <f t="shared" si="28"/>
        <v>44713</v>
      </c>
      <c r="N628" t="str">
        <f t="shared" si="29"/>
        <v>Online</v>
      </c>
      <c r="O628" t="str">
        <f>IF(Tabla22[[#This Row],[quantity]]&gt;=umbral_grande, "Grande", IF(Tabla22[[#This Row],[quantity]]&gt;=umbral_mediano,"Mediano", "Pequeño"))</f>
        <v>Grande</v>
      </c>
    </row>
    <row r="629" spans="2:15" x14ac:dyDescent="0.25">
      <c r="B629">
        <v>626</v>
      </c>
      <c r="C629" s="1">
        <v>44958</v>
      </c>
      <c r="D629" t="s">
        <v>27</v>
      </c>
      <c r="E629" t="s">
        <v>18</v>
      </c>
      <c r="F629">
        <v>40</v>
      </c>
      <c r="G629">
        <v>15</v>
      </c>
      <c r="H629">
        <v>600</v>
      </c>
      <c r="I629" t="s">
        <v>15</v>
      </c>
      <c r="J629" t="s">
        <v>12</v>
      </c>
      <c r="K629" t="s">
        <v>13</v>
      </c>
      <c r="L629">
        <f t="shared" si="27"/>
        <v>2023</v>
      </c>
      <c r="M629" s="13">
        <f t="shared" si="28"/>
        <v>44958</v>
      </c>
      <c r="N629" t="str">
        <f t="shared" si="29"/>
        <v>Cash</v>
      </c>
      <c r="O629" t="str">
        <f>IF(Tabla22[[#This Row],[quantity]]&gt;=umbral_grande, "Grande", IF(Tabla22[[#This Row],[quantity]]&gt;=umbral_mediano,"Mediano", "Pequeño"))</f>
        <v>Grande</v>
      </c>
    </row>
    <row r="630" spans="2:15" x14ac:dyDescent="0.25">
      <c r="B630">
        <v>627</v>
      </c>
      <c r="C630" s="1">
        <v>44734</v>
      </c>
      <c r="D630" t="s">
        <v>17</v>
      </c>
      <c r="E630" t="s">
        <v>18</v>
      </c>
      <c r="F630">
        <v>25</v>
      </c>
      <c r="G630">
        <v>15</v>
      </c>
      <c r="H630">
        <v>375</v>
      </c>
      <c r="I630" t="s">
        <v>19</v>
      </c>
      <c r="J630" t="s">
        <v>12</v>
      </c>
      <c r="K630" t="s">
        <v>16</v>
      </c>
      <c r="L630">
        <f t="shared" si="27"/>
        <v>2022</v>
      </c>
      <c r="M630" s="13">
        <f t="shared" si="28"/>
        <v>44713</v>
      </c>
      <c r="N630" t="str">
        <f t="shared" si="29"/>
        <v>Online</v>
      </c>
      <c r="O630" t="str">
        <f>IF(Tabla22[[#This Row],[quantity]]&gt;=umbral_grande, "Grande", IF(Tabla22[[#This Row],[quantity]]&gt;=umbral_mediano,"Mediano", "Pequeño"))</f>
        <v>Grande</v>
      </c>
    </row>
    <row r="631" spans="2:15" x14ac:dyDescent="0.25">
      <c r="B631">
        <v>628</v>
      </c>
      <c r="C631" s="1">
        <v>44683</v>
      </c>
      <c r="D631" t="s">
        <v>27</v>
      </c>
      <c r="E631" t="s">
        <v>18</v>
      </c>
      <c r="F631">
        <v>40</v>
      </c>
      <c r="G631">
        <v>10</v>
      </c>
      <c r="H631">
        <v>400</v>
      </c>
      <c r="J631" t="s">
        <v>22</v>
      </c>
      <c r="K631" t="s">
        <v>13</v>
      </c>
      <c r="L631">
        <f t="shared" si="27"/>
        <v>2022</v>
      </c>
      <c r="M631" s="13">
        <f t="shared" si="28"/>
        <v>44682</v>
      </c>
      <c r="N631" t="str">
        <f t="shared" si="29"/>
        <v>Sin registrar</v>
      </c>
      <c r="O631" t="str">
        <f>IF(Tabla22[[#This Row],[quantity]]&gt;=umbral_grande, "Grande", IF(Tabla22[[#This Row],[quantity]]&gt;=umbral_mediano,"Mediano", "Pequeño"))</f>
        <v>Mediano</v>
      </c>
    </row>
    <row r="632" spans="2:15" x14ac:dyDescent="0.25">
      <c r="B632">
        <v>629</v>
      </c>
      <c r="C632" s="1">
        <v>44946</v>
      </c>
      <c r="D632" t="s">
        <v>17</v>
      </c>
      <c r="E632" t="s">
        <v>18</v>
      </c>
      <c r="F632">
        <v>25</v>
      </c>
      <c r="G632">
        <v>9</v>
      </c>
      <c r="H632">
        <v>225</v>
      </c>
      <c r="I632" t="s">
        <v>15</v>
      </c>
      <c r="J632" t="s">
        <v>22</v>
      </c>
      <c r="K632" t="s">
        <v>20</v>
      </c>
      <c r="L632">
        <f t="shared" si="27"/>
        <v>2023</v>
      </c>
      <c r="M632" s="13">
        <f t="shared" si="28"/>
        <v>44927</v>
      </c>
      <c r="N632" t="str">
        <f t="shared" si="29"/>
        <v>Cash</v>
      </c>
      <c r="O632" t="str">
        <f>IF(Tabla22[[#This Row],[quantity]]&gt;=umbral_grande, "Grande", IF(Tabla22[[#This Row],[quantity]]&gt;=umbral_mediano,"Mediano", "Pequeño"))</f>
        <v>Mediano</v>
      </c>
    </row>
    <row r="633" spans="2:15" x14ac:dyDescent="0.25">
      <c r="B633">
        <v>630</v>
      </c>
      <c r="C633" s="1">
        <v>44708</v>
      </c>
      <c r="D633" t="s">
        <v>24</v>
      </c>
      <c r="E633" t="s">
        <v>11</v>
      </c>
      <c r="F633">
        <v>50</v>
      </c>
      <c r="G633">
        <v>7</v>
      </c>
      <c r="H633">
        <v>350</v>
      </c>
      <c r="J633" t="s">
        <v>22</v>
      </c>
      <c r="K633" t="s">
        <v>23</v>
      </c>
      <c r="L633">
        <f t="shared" si="27"/>
        <v>2022</v>
      </c>
      <c r="M633" s="13">
        <f t="shared" si="28"/>
        <v>44682</v>
      </c>
      <c r="N633" t="str">
        <f t="shared" si="29"/>
        <v>Sin registrar</v>
      </c>
      <c r="O633" t="str">
        <f>IF(Tabla22[[#This Row],[quantity]]&gt;=umbral_grande, "Grande", IF(Tabla22[[#This Row],[quantity]]&gt;=umbral_mediano,"Mediano", "Pequeño"))</f>
        <v>Mediano</v>
      </c>
    </row>
    <row r="634" spans="2:15" x14ac:dyDescent="0.25">
      <c r="B634">
        <v>631</v>
      </c>
      <c r="C634" s="1">
        <v>44743</v>
      </c>
      <c r="D634" t="s">
        <v>27</v>
      </c>
      <c r="E634" t="s">
        <v>18</v>
      </c>
      <c r="F634">
        <v>40</v>
      </c>
      <c r="G634">
        <v>13</v>
      </c>
      <c r="H634">
        <v>520</v>
      </c>
      <c r="I634" t="s">
        <v>15</v>
      </c>
      <c r="J634" t="s">
        <v>22</v>
      </c>
      <c r="K634" t="s">
        <v>20</v>
      </c>
      <c r="L634">
        <f t="shared" si="27"/>
        <v>2022</v>
      </c>
      <c r="M634" s="13">
        <f t="shared" si="28"/>
        <v>44743</v>
      </c>
      <c r="N634" t="str">
        <f t="shared" si="29"/>
        <v>Cash</v>
      </c>
      <c r="O634" t="str">
        <f>IF(Tabla22[[#This Row],[quantity]]&gt;=umbral_grande, "Grande", IF(Tabla22[[#This Row],[quantity]]&gt;=umbral_mediano,"Mediano", "Pequeño"))</f>
        <v>Grande</v>
      </c>
    </row>
    <row r="635" spans="2:15" x14ac:dyDescent="0.25">
      <c r="B635">
        <v>632</v>
      </c>
      <c r="C635" s="1">
        <v>44862</v>
      </c>
      <c r="D635" t="s">
        <v>21</v>
      </c>
      <c r="E635" t="s">
        <v>11</v>
      </c>
      <c r="F635">
        <v>20</v>
      </c>
      <c r="G635">
        <v>9</v>
      </c>
      <c r="H635">
        <v>180</v>
      </c>
      <c r="I635" t="s">
        <v>19</v>
      </c>
      <c r="J635" t="s">
        <v>22</v>
      </c>
      <c r="K635" t="s">
        <v>13</v>
      </c>
      <c r="L635">
        <f t="shared" si="27"/>
        <v>2022</v>
      </c>
      <c r="M635" s="13">
        <f t="shared" si="28"/>
        <v>44835</v>
      </c>
      <c r="N635" t="str">
        <f t="shared" si="29"/>
        <v>Online</v>
      </c>
      <c r="O635" t="str">
        <f>IF(Tabla22[[#This Row],[quantity]]&gt;=umbral_grande, "Grande", IF(Tabla22[[#This Row],[quantity]]&gt;=umbral_mediano,"Mediano", "Pequeño"))</f>
        <v>Mediano</v>
      </c>
    </row>
    <row r="636" spans="2:15" x14ac:dyDescent="0.25">
      <c r="B636">
        <v>633</v>
      </c>
      <c r="C636" s="1">
        <v>44705</v>
      </c>
      <c r="D636" t="s">
        <v>27</v>
      </c>
      <c r="E636" t="s">
        <v>18</v>
      </c>
      <c r="F636">
        <v>40</v>
      </c>
      <c r="G636">
        <v>3</v>
      </c>
      <c r="H636">
        <v>120</v>
      </c>
      <c r="I636" t="s">
        <v>19</v>
      </c>
      <c r="J636" t="s">
        <v>12</v>
      </c>
      <c r="K636" t="s">
        <v>20</v>
      </c>
      <c r="L636">
        <f t="shared" si="27"/>
        <v>2022</v>
      </c>
      <c r="M636" s="13">
        <f t="shared" si="28"/>
        <v>44682</v>
      </c>
      <c r="N636" t="str">
        <f t="shared" si="29"/>
        <v>Online</v>
      </c>
      <c r="O636" t="str">
        <f>IF(Tabla22[[#This Row],[quantity]]&gt;=umbral_grande, "Grande", IF(Tabla22[[#This Row],[quantity]]&gt;=umbral_mediano,"Mediano", "Pequeño"))</f>
        <v>Pequeño</v>
      </c>
    </row>
    <row r="637" spans="2:15" x14ac:dyDescent="0.25">
      <c r="B637">
        <v>634</v>
      </c>
      <c r="C637" s="1">
        <v>44768</v>
      </c>
      <c r="D637" t="s">
        <v>21</v>
      </c>
      <c r="E637" t="s">
        <v>11</v>
      </c>
      <c r="F637">
        <v>20</v>
      </c>
      <c r="G637">
        <v>13</v>
      </c>
      <c r="H637">
        <v>260</v>
      </c>
      <c r="I637" t="s">
        <v>15</v>
      </c>
      <c r="J637" t="s">
        <v>12</v>
      </c>
      <c r="K637" t="s">
        <v>16</v>
      </c>
      <c r="L637">
        <f t="shared" si="27"/>
        <v>2022</v>
      </c>
      <c r="M637" s="13">
        <f t="shared" si="28"/>
        <v>44743</v>
      </c>
      <c r="N637" t="str">
        <f t="shared" si="29"/>
        <v>Cash</v>
      </c>
      <c r="O637" t="str">
        <f>IF(Tabla22[[#This Row],[quantity]]&gt;=umbral_grande, "Grande", IF(Tabla22[[#This Row],[quantity]]&gt;=umbral_mediano,"Mediano", "Pequeño"))</f>
        <v>Grande</v>
      </c>
    </row>
    <row r="638" spans="2:15" x14ac:dyDescent="0.25">
      <c r="B638">
        <v>635</v>
      </c>
      <c r="C638" s="1">
        <v>44963</v>
      </c>
      <c r="D638" t="s">
        <v>14</v>
      </c>
      <c r="E638" t="s">
        <v>11</v>
      </c>
      <c r="F638">
        <v>20</v>
      </c>
      <c r="G638">
        <v>15</v>
      </c>
      <c r="H638">
        <v>300</v>
      </c>
      <c r="I638" t="s">
        <v>19</v>
      </c>
      <c r="J638" t="s">
        <v>22</v>
      </c>
      <c r="K638" t="s">
        <v>13</v>
      </c>
      <c r="L638">
        <f t="shared" si="27"/>
        <v>2023</v>
      </c>
      <c r="M638" s="13">
        <f t="shared" si="28"/>
        <v>44958</v>
      </c>
      <c r="N638" t="str">
        <f t="shared" si="29"/>
        <v>Online</v>
      </c>
      <c r="O638" t="str">
        <f>IF(Tabla22[[#This Row],[quantity]]&gt;=umbral_grande, "Grande", IF(Tabla22[[#This Row],[quantity]]&gt;=umbral_mediano,"Mediano", "Pequeño"))</f>
        <v>Grande</v>
      </c>
    </row>
    <row r="639" spans="2:15" x14ac:dyDescent="0.25">
      <c r="B639">
        <v>636</v>
      </c>
      <c r="C639" s="1">
        <v>44677</v>
      </c>
      <c r="D639" t="s">
        <v>27</v>
      </c>
      <c r="E639" t="s">
        <v>18</v>
      </c>
      <c r="F639">
        <v>40</v>
      </c>
      <c r="G639">
        <v>12</v>
      </c>
      <c r="H639">
        <v>480</v>
      </c>
      <c r="J639" t="s">
        <v>12</v>
      </c>
      <c r="K639" t="s">
        <v>23</v>
      </c>
      <c r="L639">
        <f t="shared" si="27"/>
        <v>2022</v>
      </c>
      <c r="M639" s="13">
        <f t="shared" si="28"/>
        <v>44652</v>
      </c>
      <c r="N639" t="str">
        <f t="shared" si="29"/>
        <v>Sin registrar</v>
      </c>
      <c r="O639" t="str">
        <f>IF(Tabla22[[#This Row],[quantity]]&gt;=umbral_grande, "Grande", IF(Tabla22[[#This Row],[quantity]]&gt;=umbral_mediano,"Mediano", "Pequeño"))</f>
        <v>Grande</v>
      </c>
    </row>
    <row r="640" spans="2:15" x14ac:dyDescent="0.25">
      <c r="B640">
        <v>637</v>
      </c>
      <c r="C640" s="1">
        <v>44695</v>
      </c>
      <c r="D640" t="s">
        <v>10</v>
      </c>
      <c r="E640" t="s">
        <v>11</v>
      </c>
      <c r="F640">
        <v>20</v>
      </c>
      <c r="G640">
        <v>7</v>
      </c>
      <c r="H640">
        <v>140</v>
      </c>
      <c r="I640" t="s">
        <v>15</v>
      </c>
      <c r="J640" t="s">
        <v>12</v>
      </c>
      <c r="K640" t="s">
        <v>26</v>
      </c>
      <c r="L640">
        <f t="shared" si="27"/>
        <v>2022</v>
      </c>
      <c r="M640" s="13">
        <f t="shared" si="28"/>
        <v>44682</v>
      </c>
      <c r="N640" t="str">
        <f t="shared" si="29"/>
        <v>Cash</v>
      </c>
      <c r="O640" t="str">
        <f>IF(Tabla22[[#This Row],[quantity]]&gt;=umbral_grande, "Grande", IF(Tabla22[[#This Row],[quantity]]&gt;=umbral_mediano,"Mediano", "Pequeño"))</f>
        <v>Mediano</v>
      </c>
    </row>
    <row r="641" spans="2:15" x14ac:dyDescent="0.25">
      <c r="B641">
        <v>638</v>
      </c>
      <c r="C641" s="1">
        <v>44793</v>
      </c>
      <c r="D641" t="s">
        <v>27</v>
      </c>
      <c r="E641" t="s">
        <v>18</v>
      </c>
      <c r="F641">
        <v>40</v>
      </c>
      <c r="G641">
        <v>11</v>
      </c>
      <c r="H641">
        <v>440</v>
      </c>
      <c r="I641" t="s">
        <v>19</v>
      </c>
      <c r="J641" t="s">
        <v>22</v>
      </c>
      <c r="K641" t="s">
        <v>16</v>
      </c>
      <c r="L641">
        <f t="shared" si="27"/>
        <v>2022</v>
      </c>
      <c r="M641" s="13">
        <f t="shared" si="28"/>
        <v>44774</v>
      </c>
      <c r="N641" t="str">
        <f t="shared" si="29"/>
        <v>Online</v>
      </c>
      <c r="O641" t="str">
        <f>IF(Tabla22[[#This Row],[quantity]]&gt;=umbral_grande, "Grande", IF(Tabla22[[#This Row],[quantity]]&gt;=umbral_mediano,"Mediano", "Pequeño"))</f>
        <v>Grande</v>
      </c>
    </row>
    <row r="642" spans="2:15" x14ac:dyDescent="0.25">
      <c r="B642">
        <v>639</v>
      </c>
      <c r="C642" s="1">
        <v>44952</v>
      </c>
      <c r="D642" t="s">
        <v>14</v>
      </c>
      <c r="E642" t="s">
        <v>11</v>
      </c>
      <c r="F642">
        <v>20</v>
      </c>
      <c r="G642">
        <v>14</v>
      </c>
      <c r="H642">
        <v>280</v>
      </c>
      <c r="I642" t="s">
        <v>15</v>
      </c>
      <c r="J642" t="s">
        <v>22</v>
      </c>
      <c r="K642" t="s">
        <v>23</v>
      </c>
      <c r="L642">
        <f t="shared" si="27"/>
        <v>2023</v>
      </c>
      <c r="M642" s="13">
        <f t="shared" si="28"/>
        <v>44927</v>
      </c>
      <c r="N642" t="str">
        <f t="shared" si="29"/>
        <v>Cash</v>
      </c>
      <c r="O642" t="str">
        <f>IF(Tabla22[[#This Row],[quantity]]&gt;=umbral_grande, "Grande", IF(Tabla22[[#This Row],[quantity]]&gt;=umbral_mediano,"Mediano", "Pequeño"))</f>
        <v>Grande</v>
      </c>
    </row>
    <row r="643" spans="2:15" x14ac:dyDescent="0.25">
      <c r="B643">
        <v>640</v>
      </c>
      <c r="C643" s="1">
        <v>44930</v>
      </c>
      <c r="D643" t="s">
        <v>25</v>
      </c>
      <c r="E643" t="s">
        <v>11</v>
      </c>
      <c r="F643">
        <v>60</v>
      </c>
      <c r="G643">
        <v>15</v>
      </c>
      <c r="H643">
        <v>900</v>
      </c>
      <c r="I643" t="s">
        <v>19</v>
      </c>
      <c r="J643" t="s">
        <v>12</v>
      </c>
      <c r="K643" t="s">
        <v>13</v>
      </c>
      <c r="L643">
        <f t="shared" si="27"/>
        <v>2023</v>
      </c>
      <c r="M643" s="13">
        <f t="shared" si="28"/>
        <v>44927</v>
      </c>
      <c r="N643" t="str">
        <f t="shared" si="29"/>
        <v>Online</v>
      </c>
      <c r="O643" t="str">
        <f>IF(Tabla22[[#This Row],[quantity]]&gt;=umbral_grande, "Grande", IF(Tabla22[[#This Row],[quantity]]&gt;=umbral_mediano,"Mediano", "Pequeño"))</f>
        <v>Grande</v>
      </c>
    </row>
    <row r="644" spans="2:15" x14ac:dyDescent="0.25">
      <c r="B644">
        <v>641</v>
      </c>
      <c r="C644" s="1">
        <v>44966</v>
      </c>
      <c r="D644" t="s">
        <v>14</v>
      </c>
      <c r="E644" t="s">
        <v>11</v>
      </c>
      <c r="F644">
        <v>20</v>
      </c>
      <c r="G644">
        <v>15</v>
      </c>
      <c r="H644">
        <v>300</v>
      </c>
      <c r="I644" t="s">
        <v>15</v>
      </c>
      <c r="J644" t="s">
        <v>12</v>
      </c>
      <c r="K644" t="s">
        <v>16</v>
      </c>
      <c r="L644">
        <f t="shared" si="27"/>
        <v>2023</v>
      </c>
      <c r="M644" s="13">
        <f t="shared" si="28"/>
        <v>44958</v>
      </c>
      <c r="N644" t="str">
        <f t="shared" si="29"/>
        <v>Cash</v>
      </c>
      <c r="O644" t="str">
        <f>IF(Tabla22[[#This Row],[quantity]]&gt;=umbral_grande, "Grande", IF(Tabla22[[#This Row],[quantity]]&gt;=umbral_mediano,"Mediano", "Pequeño"))</f>
        <v>Grande</v>
      </c>
    </row>
    <row r="645" spans="2:15" x14ac:dyDescent="0.25">
      <c r="B645">
        <v>642</v>
      </c>
      <c r="C645" s="1">
        <v>44690</v>
      </c>
      <c r="D645" t="s">
        <v>27</v>
      </c>
      <c r="E645" t="s">
        <v>18</v>
      </c>
      <c r="F645">
        <v>40</v>
      </c>
      <c r="G645">
        <v>10</v>
      </c>
      <c r="H645">
        <v>400</v>
      </c>
      <c r="I645" t="s">
        <v>19</v>
      </c>
      <c r="J645" t="s">
        <v>22</v>
      </c>
      <c r="K645" t="s">
        <v>23</v>
      </c>
      <c r="L645">
        <f t="shared" ref="L645:L708" si="30">YEAR(C645)</f>
        <v>2022</v>
      </c>
      <c r="M645" s="13">
        <f t="shared" ref="M645:M708" si="31">DATE(YEAR(C645),MONTH(C645),1)</f>
        <v>44682</v>
      </c>
      <c r="N645" t="str">
        <f t="shared" ref="N645:N708" si="32">IF(I645 = "", "Sin registrar",I645)</f>
        <v>Online</v>
      </c>
      <c r="O645" t="str">
        <f>IF(Tabla22[[#This Row],[quantity]]&gt;=umbral_grande, "Grande", IF(Tabla22[[#This Row],[quantity]]&gt;=umbral_mediano,"Mediano", "Pequeño"))</f>
        <v>Mediano</v>
      </c>
    </row>
    <row r="646" spans="2:15" x14ac:dyDescent="0.25">
      <c r="B646">
        <v>643</v>
      </c>
      <c r="C646" s="1">
        <v>44854</v>
      </c>
      <c r="D646" t="s">
        <v>17</v>
      </c>
      <c r="E646" t="s">
        <v>18</v>
      </c>
      <c r="F646">
        <v>25</v>
      </c>
      <c r="G646">
        <v>2</v>
      </c>
      <c r="H646">
        <v>50</v>
      </c>
      <c r="I646" t="s">
        <v>15</v>
      </c>
      <c r="J646" t="s">
        <v>12</v>
      </c>
      <c r="K646" t="s">
        <v>16</v>
      </c>
      <c r="L646">
        <f t="shared" si="30"/>
        <v>2022</v>
      </c>
      <c r="M646" s="13">
        <f t="shared" si="31"/>
        <v>44835</v>
      </c>
      <c r="N646" t="str">
        <f t="shared" si="32"/>
        <v>Cash</v>
      </c>
      <c r="O646" t="str">
        <f>IF(Tabla22[[#This Row],[quantity]]&gt;=umbral_grande, "Grande", IF(Tabla22[[#This Row],[quantity]]&gt;=umbral_mediano,"Mediano", "Pequeño"))</f>
        <v>Pequeño</v>
      </c>
    </row>
    <row r="647" spans="2:15" x14ac:dyDescent="0.25">
      <c r="B647">
        <v>644</v>
      </c>
      <c r="C647" s="1">
        <v>44960</v>
      </c>
      <c r="D647" t="s">
        <v>21</v>
      </c>
      <c r="E647" t="s">
        <v>11</v>
      </c>
      <c r="F647">
        <v>20</v>
      </c>
      <c r="G647">
        <v>5</v>
      </c>
      <c r="H647">
        <v>100</v>
      </c>
      <c r="I647" t="s">
        <v>19</v>
      </c>
      <c r="J647" t="s">
        <v>22</v>
      </c>
      <c r="K647" t="s">
        <v>20</v>
      </c>
      <c r="L647">
        <f t="shared" si="30"/>
        <v>2023</v>
      </c>
      <c r="M647" s="13">
        <f t="shared" si="31"/>
        <v>44958</v>
      </c>
      <c r="N647" t="str">
        <f t="shared" si="32"/>
        <v>Online</v>
      </c>
      <c r="O647" t="str">
        <f>IF(Tabla22[[#This Row],[quantity]]&gt;=umbral_grande, "Grande", IF(Tabla22[[#This Row],[quantity]]&gt;=umbral_mediano,"Mediano", "Pequeño"))</f>
        <v>Pequeño</v>
      </c>
    </row>
    <row r="648" spans="2:15" x14ac:dyDescent="0.25">
      <c r="B648">
        <v>645</v>
      </c>
      <c r="C648" s="1">
        <v>44768</v>
      </c>
      <c r="D648" t="s">
        <v>25</v>
      </c>
      <c r="E648" t="s">
        <v>11</v>
      </c>
      <c r="F648">
        <v>60</v>
      </c>
      <c r="G648">
        <v>9</v>
      </c>
      <c r="H648">
        <v>540</v>
      </c>
      <c r="I648" t="s">
        <v>15</v>
      </c>
      <c r="J648" t="s">
        <v>22</v>
      </c>
      <c r="K648" t="s">
        <v>13</v>
      </c>
      <c r="L648">
        <f t="shared" si="30"/>
        <v>2022</v>
      </c>
      <c r="M648" s="13">
        <f t="shared" si="31"/>
        <v>44743</v>
      </c>
      <c r="N648" t="str">
        <f t="shared" si="32"/>
        <v>Cash</v>
      </c>
      <c r="O648" t="str">
        <f>IF(Tabla22[[#This Row],[quantity]]&gt;=umbral_grande, "Grande", IF(Tabla22[[#This Row],[quantity]]&gt;=umbral_mediano,"Mediano", "Pequeño"))</f>
        <v>Mediano</v>
      </c>
    </row>
    <row r="649" spans="2:15" x14ac:dyDescent="0.25">
      <c r="B649">
        <v>646</v>
      </c>
      <c r="C649" s="1">
        <v>44803</v>
      </c>
      <c r="D649" t="s">
        <v>14</v>
      </c>
      <c r="E649" t="s">
        <v>11</v>
      </c>
      <c r="F649">
        <v>20</v>
      </c>
      <c r="G649">
        <v>14</v>
      </c>
      <c r="H649">
        <v>280</v>
      </c>
      <c r="I649" t="s">
        <v>19</v>
      </c>
      <c r="J649" t="s">
        <v>22</v>
      </c>
      <c r="K649" t="s">
        <v>16</v>
      </c>
      <c r="L649">
        <f t="shared" si="30"/>
        <v>2022</v>
      </c>
      <c r="M649" s="13">
        <f t="shared" si="31"/>
        <v>44774</v>
      </c>
      <c r="N649" t="str">
        <f t="shared" si="32"/>
        <v>Online</v>
      </c>
      <c r="O649" t="str">
        <f>IF(Tabla22[[#This Row],[quantity]]&gt;=umbral_grande, "Grande", IF(Tabla22[[#This Row],[quantity]]&gt;=umbral_mediano,"Mediano", "Pequeño"))</f>
        <v>Grande</v>
      </c>
    </row>
    <row r="650" spans="2:15" x14ac:dyDescent="0.25">
      <c r="B650">
        <v>647</v>
      </c>
      <c r="C650" s="1">
        <v>44717</v>
      </c>
      <c r="D650" t="s">
        <v>14</v>
      </c>
      <c r="E650" t="s">
        <v>11</v>
      </c>
      <c r="F650">
        <v>20</v>
      </c>
      <c r="G650">
        <v>3</v>
      </c>
      <c r="H650">
        <v>60</v>
      </c>
      <c r="I650" t="s">
        <v>15</v>
      </c>
      <c r="J650" t="s">
        <v>12</v>
      </c>
      <c r="K650" t="s">
        <v>16</v>
      </c>
      <c r="L650">
        <f t="shared" si="30"/>
        <v>2022</v>
      </c>
      <c r="M650" s="13">
        <f t="shared" si="31"/>
        <v>44713</v>
      </c>
      <c r="N650" t="str">
        <f t="shared" si="32"/>
        <v>Cash</v>
      </c>
      <c r="O650" t="str">
        <f>IF(Tabla22[[#This Row],[quantity]]&gt;=umbral_grande, "Grande", IF(Tabla22[[#This Row],[quantity]]&gt;=umbral_mediano,"Mediano", "Pequeño"))</f>
        <v>Pequeño</v>
      </c>
    </row>
    <row r="651" spans="2:15" x14ac:dyDescent="0.25">
      <c r="B651">
        <v>648</v>
      </c>
      <c r="C651" s="1">
        <v>44708</v>
      </c>
      <c r="D651" t="s">
        <v>25</v>
      </c>
      <c r="E651" t="s">
        <v>11</v>
      </c>
      <c r="F651">
        <v>60</v>
      </c>
      <c r="G651">
        <v>7</v>
      </c>
      <c r="H651">
        <v>420</v>
      </c>
      <c r="I651" t="s">
        <v>15</v>
      </c>
      <c r="J651" t="s">
        <v>12</v>
      </c>
      <c r="K651" t="s">
        <v>13</v>
      </c>
      <c r="L651">
        <f t="shared" si="30"/>
        <v>2022</v>
      </c>
      <c r="M651" s="13">
        <f t="shared" si="31"/>
        <v>44682</v>
      </c>
      <c r="N651" t="str">
        <f t="shared" si="32"/>
        <v>Cash</v>
      </c>
      <c r="O651" t="str">
        <f>IF(Tabla22[[#This Row],[quantity]]&gt;=umbral_grande, "Grande", IF(Tabla22[[#This Row],[quantity]]&gt;=umbral_mediano,"Mediano", "Pequeño"))</f>
        <v>Mediano</v>
      </c>
    </row>
    <row r="652" spans="2:15" x14ac:dyDescent="0.25">
      <c r="B652">
        <v>649</v>
      </c>
      <c r="C652" s="1">
        <v>44870</v>
      </c>
      <c r="D652" t="s">
        <v>24</v>
      </c>
      <c r="E652" t="s">
        <v>11</v>
      </c>
      <c r="F652">
        <v>50</v>
      </c>
      <c r="G652">
        <v>9</v>
      </c>
      <c r="H652">
        <v>450</v>
      </c>
      <c r="I652" t="s">
        <v>15</v>
      </c>
      <c r="J652" t="s">
        <v>12</v>
      </c>
      <c r="K652" t="s">
        <v>26</v>
      </c>
      <c r="L652">
        <f t="shared" si="30"/>
        <v>2022</v>
      </c>
      <c r="M652" s="13">
        <f t="shared" si="31"/>
        <v>44866</v>
      </c>
      <c r="N652" t="str">
        <f t="shared" si="32"/>
        <v>Cash</v>
      </c>
      <c r="O652" t="str">
        <f>IF(Tabla22[[#This Row],[quantity]]&gt;=umbral_grande, "Grande", IF(Tabla22[[#This Row],[quantity]]&gt;=umbral_mediano,"Mediano", "Pequeño"))</f>
        <v>Mediano</v>
      </c>
    </row>
    <row r="653" spans="2:15" x14ac:dyDescent="0.25">
      <c r="B653">
        <v>650</v>
      </c>
      <c r="C653" s="1">
        <v>44658</v>
      </c>
      <c r="D653" t="s">
        <v>25</v>
      </c>
      <c r="E653" t="s">
        <v>11</v>
      </c>
      <c r="F653">
        <v>60</v>
      </c>
      <c r="G653">
        <v>13</v>
      </c>
      <c r="H653">
        <v>780</v>
      </c>
      <c r="I653" t="s">
        <v>19</v>
      </c>
      <c r="J653" t="s">
        <v>22</v>
      </c>
      <c r="K653" t="s">
        <v>23</v>
      </c>
      <c r="L653">
        <f t="shared" si="30"/>
        <v>2022</v>
      </c>
      <c r="M653" s="13">
        <f t="shared" si="31"/>
        <v>44652</v>
      </c>
      <c r="N653" t="str">
        <f t="shared" si="32"/>
        <v>Online</v>
      </c>
      <c r="O653" t="str">
        <f>IF(Tabla22[[#This Row],[quantity]]&gt;=umbral_grande, "Grande", IF(Tabla22[[#This Row],[quantity]]&gt;=umbral_mediano,"Mediano", "Pequeño"))</f>
        <v>Grande</v>
      </c>
    </row>
    <row r="654" spans="2:15" x14ac:dyDescent="0.25">
      <c r="B654">
        <v>651</v>
      </c>
      <c r="C654" s="1">
        <v>44753</v>
      </c>
      <c r="D654" t="s">
        <v>25</v>
      </c>
      <c r="E654" t="s">
        <v>11</v>
      </c>
      <c r="F654">
        <v>60</v>
      </c>
      <c r="G654">
        <v>10</v>
      </c>
      <c r="H654">
        <v>600</v>
      </c>
      <c r="I654" t="s">
        <v>19</v>
      </c>
      <c r="J654" t="s">
        <v>22</v>
      </c>
      <c r="K654" t="s">
        <v>26</v>
      </c>
      <c r="L654">
        <f t="shared" si="30"/>
        <v>2022</v>
      </c>
      <c r="M654" s="13">
        <f t="shared" si="31"/>
        <v>44743</v>
      </c>
      <c r="N654" t="str">
        <f t="shared" si="32"/>
        <v>Online</v>
      </c>
      <c r="O654" t="str">
        <f>IF(Tabla22[[#This Row],[quantity]]&gt;=umbral_grande, "Grande", IF(Tabla22[[#This Row],[quantity]]&gt;=umbral_mediano,"Mediano", "Pequeño"))</f>
        <v>Mediano</v>
      </c>
    </row>
    <row r="655" spans="2:15" x14ac:dyDescent="0.25">
      <c r="B655">
        <v>652</v>
      </c>
      <c r="C655" s="1">
        <v>44702</v>
      </c>
      <c r="D655" t="s">
        <v>27</v>
      </c>
      <c r="E655" t="s">
        <v>18</v>
      </c>
      <c r="F655">
        <v>40</v>
      </c>
      <c r="G655">
        <v>13</v>
      </c>
      <c r="H655">
        <v>520</v>
      </c>
      <c r="I655" t="s">
        <v>19</v>
      </c>
      <c r="J655" t="s">
        <v>22</v>
      </c>
      <c r="K655" t="s">
        <v>16</v>
      </c>
      <c r="L655">
        <f t="shared" si="30"/>
        <v>2022</v>
      </c>
      <c r="M655" s="13">
        <f t="shared" si="31"/>
        <v>44682</v>
      </c>
      <c r="N655" t="str">
        <f t="shared" si="32"/>
        <v>Online</v>
      </c>
      <c r="O655" t="str">
        <f>IF(Tabla22[[#This Row],[quantity]]&gt;=umbral_grande, "Grande", IF(Tabla22[[#This Row],[quantity]]&gt;=umbral_mediano,"Mediano", "Pequeño"))</f>
        <v>Grande</v>
      </c>
    </row>
    <row r="656" spans="2:15" x14ac:dyDescent="0.25">
      <c r="B656">
        <v>653</v>
      </c>
      <c r="C656" s="1">
        <v>44711</v>
      </c>
      <c r="D656" t="s">
        <v>24</v>
      </c>
      <c r="E656" t="s">
        <v>11</v>
      </c>
      <c r="F656">
        <v>50</v>
      </c>
      <c r="G656">
        <v>10</v>
      </c>
      <c r="H656">
        <v>500</v>
      </c>
      <c r="I656" t="s">
        <v>19</v>
      </c>
      <c r="J656" t="s">
        <v>22</v>
      </c>
      <c r="K656" t="s">
        <v>26</v>
      </c>
      <c r="L656">
        <f t="shared" si="30"/>
        <v>2022</v>
      </c>
      <c r="M656" s="13">
        <f t="shared" si="31"/>
        <v>44682</v>
      </c>
      <c r="N656" t="str">
        <f t="shared" si="32"/>
        <v>Online</v>
      </c>
      <c r="O656" t="str">
        <f>IF(Tabla22[[#This Row],[quantity]]&gt;=umbral_grande, "Grande", IF(Tabla22[[#This Row],[quantity]]&gt;=umbral_mediano,"Mediano", "Pequeño"))</f>
        <v>Mediano</v>
      </c>
    </row>
    <row r="657" spans="2:15" x14ac:dyDescent="0.25">
      <c r="B657">
        <v>654</v>
      </c>
      <c r="C657" s="1">
        <v>44989</v>
      </c>
      <c r="D657" t="s">
        <v>14</v>
      </c>
      <c r="E657" t="s">
        <v>11</v>
      </c>
      <c r="F657">
        <v>20</v>
      </c>
      <c r="G657">
        <v>9</v>
      </c>
      <c r="H657">
        <v>180</v>
      </c>
      <c r="I657" t="s">
        <v>15</v>
      </c>
      <c r="J657" t="s">
        <v>22</v>
      </c>
      <c r="K657" t="s">
        <v>23</v>
      </c>
      <c r="L657">
        <f t="shared" si="30"/>
        <v>2023</v>
      </c>
      <c r="M657" s="13">
        <f t="shared" si="31"/>
        <v>44986</v>
      </c>
      <c r="N657" t="str">
        <f t="shared" si="32"/>
        <v>Cash</v>
      </c>
      <c r="O657" t="str">
        <f>IF(Tabla22[[#This Row],[quantity]]&gt;=umbral_grande, "Grande", IF(Tabla22[[#This Row],[quantity]]&gt;=umbral_mediano,"Mediano", "Pequeño"))</f>
        <v>Mediano</v>
      </c>
    </row>
    <row r="658" spans="2:15" x14ac:dyDescent="0.25">
      <c r="B658">
        <v>655</v>
      </c>
      <c r="C658" s="1">
        <v>44742</v>
      </c>
      <c r="D658" t="s">
        <v>17</v>
      </c>
      <c r="E658" t="s">
        <v>18</v>
      </c>
      <c r="F658">
        <v>25</v>
      </c>
      <c r="G658">
        <v>12</v>
      </c>
      <c r="H658">
        <v>300</v>
      </c>
      <c r="I658" t="s">
        <v>19</v>
      </c>
      <c r="J658" t="s">
        <v>12</v>
      </c>
      <c r="K658" t="s">
        <v>23</v>
      </c>
      <c r="L658">
        <f t="shared" si="30"/>
        <v>2022</v>
      </c>
      <c r="M658" s="13">
        <f t="shared" si="31"/>
        <v>44713</v>
      </c>
      <c r="N658" t="str">
        <f t="shared" si="32"/>
        <v>Online</v>
      </c>
      <c r="O658" t="str">
        <f>IF(Tabla22[[#This Row],[quantity]]&gt;=umbral_grande, "Grande", IF(Tabla22[[#This Row],[quantity]]&gt;=umbral_mediano,"Mediano", "Pequeño"))</f>
        <v>Grande</v>
      </c>
    </row>
    <row r="659" spans="2:15" x14ac:dyDescent="0.25">
      <c r="B659">
        <v>656</v>
      </c>
      <c r="C659" s="1">
        <v>44893</v>
      </c>
      <c r="D659" t="s">
        <v>25</v>
      </c>
      <c r="E659" t="s">
        <v>11</v>
      </c>
      <c r="F659">
        <v>60</v>
      </c>
      <c r="G659">
        <v>6</v>
      </c>
      <c r="H659">
        <v>360</v>
      </c>
      <c r="I659" t="s">
        <v>19</v>
      </c>
      <c r="J659" t="s">
        <v>22</v>
      </c>
      <c r="K659" t="s">
        <v>26</v>
      </c>
      <c r="L659">
        <f t="shared" si="30"/>
        <v>2022</v>
      </c>
      <c r="M659" s="13">
        <f t="shared" si="31"/>
        <v>44866</v>
      </c>
      <c r="N659" t="str">
        <f t="shared" si="32"/>
        <v>Online</v>
      </c>
      <c r="O659" t="str">
        <f>IF(Tabla22[[#This Row],[quantity]]&gt;=umbral_grande, "Grande", IF(Tabla22[[#This Row],[quantity]]&gt;=umbral_mediano,"Mediano", "Pequeño"))</f>
        <v>Mediano</v>
      </c>
    </row>
    <row r="660" spans="2:15" x14ac:dyDescent="0.25">
      <c r="B660">
        <v>657</v>
      </c>
      <c r="C660" s="1">
        <v>44936</v>
      </c>
      <c r="D660" t="s">
        <v>27</v>
      </c>
      <c r="E660" t="s">
        <v>18</v>
      </c>
      <c r="F660">
        <v>40</v>
      </c>
      <c r="G660">
        <v>7</v>
      </c>
      <c r="H660">
        <v>280</v>
      </c>
      <c r="J660" t="s">
        <v>12</v>
      </c>
      <c r="K660" t="s">
        <v>26</v>
      </c>
      <c r="L660">
        <f t="shared" si="30"/>
        <v>2023</v>
      </c>
      <c r="M660" s="13">
        <f t="shared" si="31"/>
        <v>44927</v>
      </c>
      <c r="N660" t="str">
        <f t="shared" si="32"/>
        <v>Sin registrar</v>
      </c>
      <c r="O660" t="str">
        <f>IF(Tabla22[[#This Row],[quantity]]&gt;=umbral_grande, "Grande", IF(Tabla22[[#This Row],[quantity]]&gt;=umbral_mediano,"Mediano", "Pequeño"))</f>
        <v>Mediano</v>
      </c>
    </row>
    <row r="661" spans="2:15" x14ac:dyDescent="0.25">
      <c r="B661">
        <v>658</v>
      </c>
      <c r="C661" s="1">
        <v>44844</v>
      </c>
      <c r="D661" t="s">
        <v>10</v>
      </c>
      <c r="E661" t="s">
        <v>11</v>
      </c>
      <c r="F661">
        <v>20</v>
      </c>
      <c r="G661">
        <v>12</v>
      </c>
      <c r="H661">
        <v>240</v>
      </c>
      <c r="J661" t="s">
        <v>22</v>
      </c>
      <c r="K661" t="s">
        <v>16</v>
      </c>
      <c r="L661">
        <f t="shared" si="30"/>
        <v>2022</v>
      </c>
      <c r="M661" s="13">
        <f t="shared" si="31"/>
        <v>44835</v>
      </c>
      <c r="N661" t="str">
        <f t="shared" si="32"/>
        <v>Sin registrar</v>
      </c>
      <c r="O661" t="str">
        <f>IF(Tabla22[[#This Row],[quantity]]&gt;=umbral_grande, "Grande", IF(Tabla22[[#This Row],[quantity]]&gt;=umbral_mediano,"Mediano", "Pequeño"))</f>
        <v>Grande</v>
      </c>
    </row>
    <row r="662" spans="2:15" x14ac:dyDescent="0.25">
      <c r="B662">
        <v>659</v>
      </c>
      <c r="C662" s="1">
        <v>44947</v>
      </c>
      <c r="D662" t="s">
        <v>21</v>
      </c>
      <c r="E662" t="s">
        <v>11</v>
      </c>
      <c r="F662">
        <v>20</v>
      </c>
      <c r="G662">
        <v>2</v>
      </c>
      <c r="H662">
        <v>40</v>
      </c>
      <c r="I662" t="s">
        <v>19</v>
      </c>
      <c r="J662" t="s">
        <v>12</v>
      </c>
      <c r="K662" t="s">
        <v>16</v>
      </c>
      <c r="L662">
        <f t="shared" si="30"/>
        <v>2023</v>
      </c>
      <c r="M662" s="13">
        <f t="shared" si="31"/>
        <v>44927</v>
      </c>
      <c r="N662" t="str">
        <f t="shared" si="32"/>
        <v>Online</v>
      </c>
      <c r="O662" t="str">
        <f>IF(Tabla22[[#This Row],[quantity]]&gt;=umbral_grande, "Grande", IF(Tabla22[[#This Row],[quantity]]&gt;=umbral_mediano,"Mediano", "Pequeño"))</f>
        <v>Pequeño</v>
      </c>
    </row>
    <row r="663" spans="2:15" x14ac:dyDescent="0.25">
      <c r="B663">
        <v>660</v>
      </c>
      <c r="C663" s="1">
        <v>44767</v>
      </c>
      <c r="D663" t="s">
        <v>25</v>
      </c>
      <c r="E663" t="s">
        <v>11</v>
      </c>
      <c r="F663">
        <v>60</v>
      </c>
      <c r="G663">
        <v>9</v>
      </c>
      <c r="H663">
        <v>540</v>
      </c>
      <c r="I663" t="s">
        <v>15</v>
      </c>
      <c r="J663" t="s">
        <v>22</v>
      </c>
      <c r="K663" t="s">
        <v>13</v>
      </c>
      <c r="L663">
        <f t="shared" si="30"/>
        <v>2022</v>
      </c>
      <c r="M663" s="13">
        <f t="shared" si="31"/>
        <v>44743</v>
      </c>
      <c r="N663" t="str">
        <f t="shared" si="32"/>
        <v>Cash</v>
      </c>
      <c r="O663" t="str">
        <f>IF(Tabla22[[#This Row],[quantity]]&gt;=umbral_grande, "Grande", IF(Tabla22[[#This Row],[quantity]]&gt;=umbral_mediano,"Mediano", "Pequeño"))</f>
        <v>Mediano</v>
      </c>
    </row>
    <row r="664" spans="2:15" x14ac:dyDescent="0.25">
      <c r="B664">
        <v>661</v>
      </c>
      <c r="C664" s="1">
        <v>44845</v>
      </c>
      <c r="D664" t="s">
        <v>24</v>
      </c>
      <c r="E664" t="s">
        <v>11</v>
      </c>
      <c r="F664">
        <v>50</v>
      </c>
      <c r="G664">
        <v>7</v>
      </c>
      <c r="H664">
        <v>350</v>
      </c>
      <c r="I664" t="s">
        <v>19</v>
      </c>
      <c r="J664" t="s">
        <v>22</v>
      </c>
      <c r="K664" t="s">
        <v>26</v>
      </c>
      <c r="L664">
        <f t="shared" si="30"/>
        <v>2022</v>
      </c>
      <c r="M664" s="13">
        <f t="shared" si="31"/>
        <v>44835</v>
      </c>
      <c r="N664" t="str">
        <f t="shared" si="32"/>
        <v>Online</v>
      </c>
      <c r="O664" t="str">
        <f>IF(Tabla22[[#This Row],[quantity]]&gt;=umbral_grande, "Grande", IF(Tabla22[[#This Row],[quantity]]&gt;=umbral_mediano,"Mediano", "Pequeño"))</f>
        <v>Mediano</v>
      </c>
    </row>
    <row r="665" spans="2:15" x14ac:dyDescent="0.25">
      <c r="B665">
        <v>662</v>
      </c>
      <c r="C665" s="1">
        <v>44972</v>
      </c>
      <c r="D665" t="s">
        <v>21</v>
      </c>
      <c r="E665" t="s">
        <v>11</v>
      </c>
      <c r="F665">
        <v>20</v>
      </c>
      <c r="G665">
        <v>3</v>
      </c>
      <c r="H665">
        <v>60</v>
      </c>
      <c r="I665" t="s">
        <v>19</v>
      </c>
      <c r="J665" t="s">
        <v>22</v>
      </c>
      <c r="K665" t="s">
        <v>16</v>
      </c>
      <c r="L665">
        <f t="shared" si="30"/>
        <v>2023</v>
      </c>
      <c r="M665" s="13">
        <f t="shared" si="31"/>
        <v>44958</v>
      </c>
      <c r="N665" t="str">
        <f t="shared" si="32"/>
        <v>Online</v>
      </c>
      <c r="O665" t="str">
        <f>IF(Tabla22[[#This Row],[quantity]]&gt;=umbral_grande, "Grande", IF(Tabla22[[#This Row],[quantity]]&gt;=umbral_mediano,"Mediano", "Pequeño"))</f>
        <v>Pequeño</v>
      </c>
    </row>
    <row r="666" spans="2:15" x14ac:dyDescent="0.25">
      <c r="B666">
        <v>663</v>
      </c>
      <c r="C666" s="1">
        <v>44962</v>
      </c>
      <c r="D666" t="s">
        <v>17</v>
      </c>
      <c r="E666" t="s">
        <v>18</v>
      </c>
      <c r="F666">
        <v>25</v>
      </c>
      <c r="G666">
        <v>1</v>
      </c>
      <c r="H666">
        <v>25</v>
      </c>
      <c r="I666" t="s">
        <v>19</v>
      </c>
      <c r="J666" t="s">
        <v>12</v>
      </c>
      <c r="K666" t="s">
        <v>13</v>
      </c>
      <c r="L666">
        <f t="shared" si="30"/>
        <v>2023</v>
      </c>
      <c r="M666" s="13">
        <f t="shared" si="31"/>
        <v>44958</v>
      </c>
      <c r="N666" t="str">
        <f t="shared" si="32"/>
        <v>Online</v>
      </c>
      <c r="O666" t="str">
        <f>IF(Tabla22[[#This Row],[quantity]]&gt;=umbral_grande, "Grande", IF(Tabla22[[#This Row],[quantity]]&gt;=umbral_mediano,"Mediano", "Pequeño"))</f>
        <v>Pequeño</v>
      </c>
    </row>
    <row r="667" spans="2:15" x14ac:dyDescent="0.25">
      <c r="B667">
        <v>664</v>
      </c>
      <c r="C667" s="1">
        <v>44865</v>
      </c>
      <c r="D667" t="s">
        <v>24</v>
      </c>
      <c r="E667" t="s">
        <v>11</v>
      </c>
      <c r="F667">
        <v>50</v>
      </c>
      <c r="G667">
        <v>10</v>
      </c>
      <c r="H667">
        <v>500</v>
      </c>
      <c r="I667" t="s">
        <v>19</v>
      </c>
      <c r="J667" t="s">
        <v>22</v>
      </c>
      <c r="K667" t="s">
        <v>23</v>
      </c>
      <c r="L667">
        <f t="shared" si="30"/>
        <v>2022</v>
      </c>
      <c r="M667" s="13">
        <f t="shared" si="31"/>
        <v>44835</v>
      </c>
      <c r="N667" t="str">
        <f t="shared" si="32"/>
        <v>Online</v>
      </c>
      <c r="O667" t="str">
        <f>IF(Tabla22[[#This Row],[quantity]]&gt;=umbral_grande, "Grande", IF(Tabla22[[#This Row],[quantity]]&gt;=umbral_mediano,"Mediano", "Pequeño"))</f>
        <v>Mediano</v>
      </c>
    </row>
    <row r="668" spans="2:15" x14ac:dyDescent="0.25">
      <c r="B668">
        <v>665</v>
      </c>
      <c r="C668" s="1">
        <v>44687</v>
      </c>
      <c r="D668" t="s">
        <v>10</v>
      </c>
      <c r="E668" t="s">
        <v>11</v>
      </c>
      <c r="F668">
        <v>20</v>
      </c>
      <c r="G668">
        <v>14</v>
      </c>
      <c r="H668">
        <v>280</v>
      </c>
      <c r="I668" t="s">
        <v>19</v>
      </c>
      <c r="J668" t="s">
        <v>22</v>
      </c>
      <c r="K668" t="s">
        <v>20</v>
      </c>
      <c r="L668">
        <f t="shared" si="30"/>
        <v>2022</v>
      </c>
      <c r="M668" s="13">
        <f t="shared" si="31"/>
        <v>44682</v>
      </c>
      <c r="N668" t="str">
        <f t="shared" si="32"/>
        <v>Online</v>
      </c>
      <c r="O668" t="str">
        <f>IF(Tabla22[[#This Row],[quantity]]&gt;=umbral_grande, "Grande", IF(Tabla22[[#This Row],[quantity]]&gt;=umbral_mediano,"Mediano", "Pequeño"))</f>
        <v>Grande</v>
      </c>
    </row>
    <row r="669" spans="2:15" x14ac:dyDescent="0.25">
      <c r="B669">
        <v>666</v>
      </c>
      <c r="C669" s="1">
        <v>44951</v>
      </c>
      <c r="D669" t="s">
        <v>21</v>
      </c>
      <c r="E669" t="s">
        <v>11</v>
      </c>
      <c r="F669">
        <v>20</v>
      </c>
      <c r="G669">
        <v>9</v>
      </c>
      <c r="H669">
        <v>180</v>
      </c>
      <c r="I669" t="s">
        <v>15</v>
      </c>
      <c r="J669" t="s">
        <v>12</v>
      </c>
      <c r="K669" t="s">
        <v>20</v>
      </c>
      <c r="L669">
        <f t="shared" si="30"/>
        <v>2023</v>
      </c>
      <c r="M669" s="13">
        <f t="shared" si="31"/>
        <v>44927</v>
      </c>
      <c r="N669" t="str">
        <f t="shared" si="32"/>
        <v>Cash</v>
      </c>
      <c r="O669" t="str">
        <f>IF(Tabla22[[#This Row],[quantity]]&gt;=umbral_grande, "Grande", IF(Tabla22[[#This Row],[quantity]]&gt;=umbral_mediano,"Mediano", "Pequeño"))</f>
        <v>Mediano</v>
      </c>
    </row>
    <row r="670" spans="2:15" x14ac:dyDescent="0.25">
      <c r="B670">
        <v>667</v>
      </c>
      <c r="C670" s="1">
        <v>44832</v>
      </c>
      <c r="D670" t="s">
        <v>14</v>
      </c>
      <c r="E670" t="s">
        <v>11</v>
      </c>
      <c r="F670">
        <v>20</v>
      </c>
      <c r="G670">
        <v>3</v>
      </c>
      <c r="H670">
        <v>60</v>
      </c>
      <c r="I670" t="s">
        <v>15</v>
      </c>
      <c r="J670" t="s">
        <v>22</v>
      </c>
      <c r="K670" t="s">
        <v>20</v>
      </c>
      <c r="L670">
        <f t="shared" si="30"/>
        <v>2022</v>
      </c>
      <c r="M670" s="13">
        <f t="shared" si="31"/>
        <v>44805</v>
      </c>
      <c r="N670" t="str">
        <f t="shared" si="32"/>
        <v>Cash</v>
      </c>
      <c r="O670" t="str">
        <f>IF(Tabla22[[#This Row],[quantity]]&gt;=umbral_grande, "Grande", IF(Tabla22[[#This Row],[quantity]]&gt;=umbral_mediano,"Mediano", "Pequeño"))</f>
        <v>Pequeño</v>
      </c>
    </row>
    <row r="671" spans="2:15" x14ac:dyDescent="0.25">
      <c r="B671">
        <v>668</v>
      </c>
      <c r="C671" s="1">
        <v>44692</v>
      </c>
      <c r="D671" t="s">
        <v>10</v>
      </c>
      <c r="E671" t="s">
        <v>11</v>
      </c>
      <c r="F671">
        <v>20</v>
      </c>
      <c r="G671">
        <v>4</v>
      </c>
      <c r="H671">
        <v>80</v>
      </c>
      <c r="I671" t="s">
        <v>19</v>
      </c>
      <c r="J671" t="s">
        <v>12</v>
      </c>
      <c r="K671" t="s">
        <v>23</v>
      </c>
      <c r="L671">
        <f t="shared" si="30"/>
        <v>2022</v>
      </c>
      <c r="M671" s="13">
        <f t="shared" si="31"/>
        <v>44682</v>
      </c>
      <c r="N671" t="str">
        <f t="shared" si="32"/>
        <v>Online</v>
      </c>
      <c r="O671" t="str">
        <f>IF(Tabla22[[#This Row],[quantity]]&gt;=umbral_grande, "Grande", IF(Tabla22[[#This Row],[quantity]]&gt;=umbral_mediano,"Mediano", "Pequeño"))</f>
        <v>Pequeño</v>
      </c>
    </row>
    <row r="672" spans="2:15" x14ac:dyDescent="0.25">
      <c r="B672">
        <v>669</v>
      </c>
      <c r="C672" s="1">
        <v>45003</v>
      </c>
      <c r="D672" t="s">
        <v>25</v>
      </c>
      <c r="E672" t="s">
        <v>11</v>
      </c>
      <c r="F672">
        <v>60</v>
      </c>
      <c r="G672">
        <v>11</v>
      </c>
      <c r="H672">
        <v>660</v>
      </c>
      <c r="I672" t="s">
        <v>19</v>
      </c>
      <c r="J672" t="s">
        <v>12</v>
      </c>
      <c r="K672" t="s">
        <v>20</v>
      </c>
      <c r="L672">
        <f t="shared" si="30"/>
        <v>2023</v>
      </c>
      <c r="M672" s="13">
        <f t="shared" si="31"/>
        <v>44986</v>
      </c>
      <c r="N672" t="str">
        <f t="shared" si="32"/>
        <v>Online</v>
      </c>
      <c r="O672" t="str">
        <f>IF(Tabla22[[#This Row],[quantity]]&gt;=umbral_grande, "Grande", IF(Tabla22[[#This Row],[quantity]]&gt;=umbral_mediano,"Mediano", "Pequeño"))</f>
        <v>Grande</v>
      </c>
    </row>
    <row r="673" spans="2:15" x14ac:dyDescent="0.25">
      <c r="B673">
        <v>670</v>
      </c>
      <c r="C673" s="1">
        <v>44747</v>
      </c>
      <c r="D673" t="s">
        <v>21</v>
      </c>
      <c r="E673" t="s">
        <v>11</v>
      </c>
      <c r="F673">
        <v>20</v>
      </c>
      <c r="G673">
        <v>15</v>
      </c>
      <c r="H673">
        <v>300</v>
      </c>
      <c r="I673" t="s">
        <v>15</v>
      </c>
      <c r="J673" t="s">
        <v>12</v>
      </c>
      <c r="K673" t="s">
        <v>13</v>
      </c>
      <c r="L673">
        <f t="shared" si="30"/>
        <v>2022</v>
      </c>
      <c r="M673" s="13">
        <f t="shared" si="31"/>
        <v>44743</v>
      </c>
      <c r="N673" t="str">
        <f t="shared" si="32"/>
        <v>Cash</v>
      </c>
      <c r="O673" t="str">
        <f>IF(Tabla22[[#This Row],[quantity]]&gt;=umbral_grande, "Grande", IF(Tabla22[[#This Row],[quantity]]&gt;=umbral_mediano,"Mediano", "Pequeño"))</f>
        <v>Grande</v>
      </c>
    </row>
    <row r="674" spans="2:15" x14ac:dyDescent="0.25">
      <c r="B674">
        <v>671</v>
      </c>
      <c r="C674" s="1">
        <v>44843</v>
      </c>
      <c r="D674" t="s">
        <v>25</v>
      </c>
      <c r="E674" t="s">
        <v>11</v>
      </c>
      <c r="F674">
        <v>60</v>
      </c>
      <c r="G674">
        <v>2</v>
      </c>
      <c r="H674">
        <v>120</v>
      </c>
      <c r="I674" t="s">
        <v>19</v>
      </c>
      <c r="J674" t="s">
        <v>12</v>
      </c>
      <c r="K674" t="s">
        <v>16</v>
      </c>
      <c r="L674">
        <f t="shared" si="30"/>
        <v>2022</v>
      </c>
      <c r="M674" s="13">
        <f t="shared" si="31"/>
        <v>44835</v>
      </c>
      <c r="N674" t="str">
        <f t="shared" si="32"/>
        <v>Online</v>
      </c>
      <c r="O674" t="str">
        <f>IF(Tabla22[[#This Row],[quantity]]&gt;=umbral_grande, "Grande", IF(Tabla22[[#This Row],[quantity]]&gt;=umbral_mediano,"Mediano", "Pequeño"))</f>
        <v>Pequeño</v>
      </c>
    </row>
    <row r="675" spans="2:15" x14ac:dyDescent="0.25">
      <c r="B675">
        <v>672</v>
      </c>
      <c r="C675" s="1">
        <v>44889</v>
      </c>
      <c r="D675" t="s">
        <v>27</v>
      </c>
      <c r="E675" t="s">
        <v>18</v>
      </c>
      <c r="F675">
        <v>40</v>
      </c>
      <c r="G675">
        <v>3</v>
      </c>
      <c r="H675">
        <v>120</v>
      </c>
      <c r="J675" t="s">
        <v>22</v>
      </c>
      <c r="K675" t="s">
        <v>20</v>
      </c>
      <c r="L675">
        <f t="shared" si="30"/>
        <v>2022</v>
      </c>
      <c r="M675" s="13">
        <f t="shared" si="31"/>
        <v>44866</v>
      </c>
      <c r="N675" t="str">
        <f t="shared" si="32"/>
        <v>Sin registrar</v>
      </c>
      <c r="O675" t="str">
        <f>IF(Tabla22[[#This Row],[quantity]]&gt;=umbral_grande, "Grande", IF(Tabla22[[#This Row],[quantity]]&gt;=umbral_mediano,"Mediano", "Pequeño"))</f>
        <v>Pequeño</v>
      </c>
    </row>
    <row r="676" spans="2:15" x14ac:dyDescent="0.25">
      <c r="B676">
        <v>673</v>
      </c>
      <c r="C676" s="1">
        <v>44821</v>
      </c>
      <c r="D676" t="s">
        <v>25</v>
      </c>
      <c r="E676" t="s">
        <v>11</v>
      </c>
      <c r="F676">
        <v>60</v>
      </c>
      <c r="G676">
        <v>12</v>
      </c>
      <c r="H676">
        <v>720</v>
      </c>
      <c r="I676" t="s">
        <v>15</v>
      </c>
      <c r="J676" t="s">
        <v>12</v>
      </c>
      <c r="K676" t="s">
        <v>26</v>
      </c>
      <c r="L676">
        <f t="shared" si="30"/>
        <v>2022</v>
      </c>
      <c r="M676" s="13">
        <f t="shared" si="31"/>
        <v>44805</v>
      </c>
      <c r="N676" t="str">
        <f t="shared" si="32"/>
        <v>Cash</v>
      </c>
      <c r="O676" t="str">
        <f>IF(Tabla22[[#This Row],[quantity]]&gt;=umbral_grande, "Grande", IF(Tabla22[[#This Row],[quantity]]&gt;=umbral_mediano,"Mediano", "Pequeño"))</f>
        <v>Grande</v>
      </c>
    </row>
    <row r="677" spans="2:15" x14ac:dyDescent="0.25">
      <c r="B677">
        <v>674</v>
      </c>
      <c r="C677" s="1">
        <v>44759</v>
      </c>
      <c r="D677" t="s">
        <v>17</v>
      </c>
      <c r="E677" t="s">
        <v>18</v>
      </c>
      <c r="F677">
        <v>25</v>
      </c>
      <c r="G677">
        <v>13</v>
      </c>
      <c r="H677">
        <v>325</v>
      </c>
      <c r="J677" t="s">
        <v>12</v>
      </c>
      <c r="K677" t="s">
        <v>23</v>
      </c>
      <c r="L677">
        <f t="shared" si="30"/>
        <v>2022</v>
      </c>
      <c r="M677" s="13">
        <f t="shared" si="31"/>
        <v>44743</v>
      </c>
      <c r="N677" t="str">
        <f t="shared" si="32"/>
        <v>Sin registrar</v>
      </c>
      <c r="O677" t="str">
        <f>IF(Tabla22[[#This Row],[quantity]]&gt;=umbral_grande, "Grande", IF(Tabla22[[#This Row],[quantity]]&gt;=umbral_mediano,"Mediano", "Pequeño"))</f>
        <v>Grande</v>
      </c>
    </row>
    <row r="678" spans="2:15" x14ac:dyDescent="0.25">
      <c r="B678">
        <v>675</v>
      </c>
      <c r="C678" s="1">
        <v>44668</v>
      </c>
      <c r="D678" t="s">
        <v>25</v>
      </c>
      <c r="E678" t="s">
        <v>11</v>
      </c>
      <c r="F678">
        <v>60</v>
      </c>
      <c r="G678">
        <v>12</v>
      </c>
      <c r="H678">
        <v>720</v>
      </c>
      <c r="I678" t="s">
        <v>15</v>
      </c>
      <c r="J678" t="s">
        <v>12</v>
      </c>
      <c r="K678" t="s">
        <v>13</v>
      </c>
      <c r="L678">
        <f t="shared" si="30"/>
        <v>2022</v>
      </c>
      <c r="M678" s="13">
        <f t="shared" si="31"/>
        <v>44652</v>
      </c>
      <c r="N678" t="str">
        <f t="shared" si="32"/>
        <v>Cash</v>
      </c>
      <c r="O678" t="str">
        <f>IF(Tabla22[[#This Row],[quantity]]&gt;=umbral_grande, "Grande", IF(Tabla22[[#This Row],[quantity]]&gt;=umbral_mediano,"Mediano", "Pequeño"))</f>
        <v>Grande</v>
      </c>
    </row>
    <row r="679" spans="2:15" x14ac:dyDescent="0.25">
      <c r="B679">
        <v>676</v>
      </c>
      <c r="C679" s="1">
        <v>44685</v>
      </c>
      <c r="D679" t="s">
        <v>24</v>
      </c>
      <c r="E679" t="s">
        <v>11</v>
      </c>
      <c r="F679">
        <v>50</v>
      </c>
      <c r="G679">
        <v>7</v>
      </c>
      <c r="H679">
        <v>350</v>
      </c>
      <c r="I679" t="s">
        <v>15</v>
      </c>
      <c r="J679" t="s">
        <v>22</v>
      </c>
      <c r="K679" t="s">
        <v>20</v>
      </c>
      <c r="L679">
        <f t="shared" si="30"/>
        <v>2022</v>
      </c>
      <c r="M679" s="13">
        <f t="shared" si="31"/>
        <v>44682</v>
      </c>
      <c r="N679" t="str">
        <f t="shared" si="32"/>
        <v>Cash</v>
      </c>
      <c r="O679" t="str">
        <f>IF(Tabla22[[#This Row],[quantity]]&gt;=umbral_grande, "Grande", IF(Tabla22[[#This Row],[quantity]]&gt;=umbral_mediano,"Mediano", "Pequeño"))</f>
        <v>Mediano</v>
      </c>
    </row>
    <row r="680" spans="2:15" x14ac:dyDescent="0.25">
      <c r="B680">
        <v>677</v>
      </c>
      <c r="C680" s="1">
        <v>44700</v>
      </c>
      <c r="D680" t="s">
        <v>27</v>
      </c>
      <c r="E680" t="s">
        <v>18</v>
      </c>
      <c r="F680">
        <v>40</v>
      </c>
      <c r="G680">
        <v>3</v>
      </c>
      <c r="H680">
        <v>120</v>
      </c>
      <c r="I680" t="s">
        <v>19</v>
      </c>
      <c r="J680" t="s">
        <v>22</v>
      </c>
      <c r="K680" t="s">
        <v>23</v>
      </c>
      <c r="L680">
        <f t="shared" si="30"/>
        <v>2022</v>
      </c>
      <c r="M680" s="13">
        <f t="shared" si="31"/>
        <v>44682</v>
      </c>
      <c r="N680" t="str">
        <f t="shared" si="32"/>
        <v>Online</v>
      </c>
      <c r="O680" t="str">
        <f>IF(Tabla22[[#This Row],[quantity]]&gt;=umbral_grande, "Grande", IF(Tabla22[[#This Row],[quantity]]&gt;=umbral_mediano,"Mediano", "Pequeño"))</f>
        <v>Pequeño</v>
      </c>
    </row>
    <row r="681" spans="2:15" x14ac:dyDescent="0.25">
      <c r="B681">
        <v>678</v>
      </c>
      <c r="C681" s="1">
        <v>44704</v>
      </c>
      <c r="D681" t="s">
        <v>10</v>
      </c>
      <c r="E681" t="s">
        <v>11</v>
      </c>
      <c r="F681">
        <v>20</v>
      </c>
      <c r="G681">
        <v>3</v>
      </c>
      <c r="H681">
        <v>60</v>
      </c>
      <c r="I681" t="s">
        <v>19</v>
      </c>
      <c r="J681" t="s">
        <v>12</v>
      </c>
      <c r="K681" t="s">
        <v>20</v>
      </c>
      <c r="L681">
        <f t="shared" si="30"/>
        <v>2022</v>
      </c>
      <c r="M681" s="13">
        <f t="shared" si="31"/>
        <v>44682</v>
      </c>
      <c r="N681" t="str">
        <f t="shared" si="32"/>
        <v>Online</v>
      </c>
      <c r="O681" t="str">
        <f>IF(Tabla22[[#This Row],[quantity]]&gt;=umbral_grande, "Grande", IF(Tabla22[[#This Row],[quantity]]&gt;=umbral_mediano,"Mediano", "Pequeño"))</f>
        <v>Pequeño</v>
      </c>
    </row>
    <row r="682" spans="2:15" x14ac:dyDescent="0.25">
      <c r="B682">
        <v>679</v>
      </c>
      <c r="C682" s="1">
        <v>44867</v>
      </c>
      <c r="D682" t="s">
        <v>25</v>
      </c>
      <c r="E682" t="s">
        <v>11</v>
      </c>
      <c r="F682">
        <v>60</v>
      </c>
      <c r="G682">
        <v>12</v>
      </c>
      <c r="H682">
        <v>720</v>
      </c>
      <c r="I682" t="s">
        <v>19</v>
      </c>
      <c r="J682" t="s">
        <v>12</v>
      </c>
      <c r="K682" t="s">
        <v>23</v>
      </c>
      <c r="L682">
        <f t="shared" si="30"/>
        <v>2022</v>
      </c>
      <c r="M682" s="13">
        <f t="shared" si="31"/>
        <v>44866</v>
      </c>
      <c r="N682" t="str">
        <f t="shared" si="32"/>
        <v>Online</v>
      </c>
      <c r="O682" t="str">
        <f>IF(Tabla22[[#This Row],[quantity]]&gt;=umbral_grande, "Grande", IF(Tabla22[[#This Row],[quantity]]&gt;=umbral_mediano,"Mediano", "Pequeño"))</f>
        <v>Grande</v>
      </c>
    </row>
    <row r="683" spans="2:15" x14ac:dyDescent="0.25">
      <c r="B683">
        <v>680</v>
      </c>
      <c r="C683" s="1">
        <v>44671</v>
      </c>
      <c r="D683" t="s">
        <v>27</v>
      </c>
      <c r="E683" t="s">
        <v>18</v>
      </c>
      <c r="F683">
        <v>40</v>
      </c>
      <c r="G683">
        <v>4</v>
      </c>
      <c r="H683">
        <v>160</v>
      </c>
      <c r="I683" t="s">
        <v>15</v>
      </c>
      <c r="J683" t="s">
        <v>12</v>
      </c>
      <c r="K683" t="s">
        <v>13</v>
      </c>
      <c r="L683">
        <f t="shared" si="30"/>
        <v>2022</v>
      </c>
      <c r="M683" s="13">
        <f t="shared" si="31"/>
        <v>44652</v>
      </c>
      <c r="N683" t="str">
        <f t="shared" si="32"/>
        <v>Cash</v>
      </c>
      <c r="O683" t="str">
        <f>IF(Tabla22[[#This Row],[quantity]]&gt;=umbral_grande, "Grande", IF(Tabla22[[#This Row],[quantity]]&gt;=umbral_mediano,"Mediano", "Pequeño"))</f>
        <v>Pequeño</v>
      </c>
    </row>
    <row r="684" spans="2:15" x14ac:dyDescent="0.25">
      <c r="B684">
        <v>681</v>
      </c>
      <c r="C684" s="1">
        <v>44904</v>
      </c>
      <c r="D684" t="s">
        <v>24</v>
      </c>
      <c r="E684" t="s">
        <v>11</v>
      </c>
      <c r="F684">
        <v>50</v>
      </c>
      <c r="G684">
        <v>9</v>
      </c>
      <c r="H684">
        <v>450</v>
      </c>
      <c r="I684" t="s">
        <v>19</v>
      </c>
      <c r="J684" t="s">
        <v>22</v>
      </c>
      <c r="K684" t="s">
        <v>13</v>
      </c>
      <c r="L684">
        <f t="shared" si="30"/>
        <v>2022</v>
      </c>
      <c r="M684" s="13">
        <f t="shared" si="31"/>
        <v>44896</v>
      </c>
      <c r="N684" t="str">
        <f t="shared" si="32"/>
        <v>Online</v>
      </c>
      <c r="O684" t="str">
        <f>IF(Tabla22[[#This Row],[quantity]]&gt;=umbral_grande, "Grande", IF(Tabla22[[#This Row],[quantity]]&gt;=umbral_mediano,"Mediano", "Pequeño"))</f>
        <v>Mediano</v>
      </c>
    </row>
    <row r="685" spans="2:15" x14ac:dyDescent="0.25">
      <c r="B685">
        <v>682</v>
      </c>
      <c r="C685" s="1">
        <v>44845</v>
      </c>
      <c r="D685" t="s">
        <v>10</v>
      </c>
      <c r="E685" t="s">
        <v>11</v>
      </c>
      <c r="F685">
        <v>20</v>
      </c>
      <c r="G685">
        <v>14</v>
      </c>
      <c r="H685">
        <v>280</v>
      </c>
      <c r="I685" t="s">
        <v>19</v>
      </c>
      <c r="J685" t="s">
        <v>12</v>
      </c>
      <c r="K685" t="s">
        <v>26</v>
      </c>
      <c r="L685">
        <f t="shared" si="30"/>
        <v>2022</v>
      </c>
      <c r="M685" s="13">
        <f t="shared" si="31"/>
        <v>44835</v>
      </c>
      <c r="N685" t="str">
        <f t="shared" si="32"/>
        <v>Online</v>
      </c>
      <c r="O685" t="str">
        <f>IF(Tabla22[[#This Row],[quantity]]&gt;=umbral_grande, "Grande", IF(Tabla22[[#This Row],[quantity]]&gt;=umbral_mediano,"Mediano", "Pequeño"))</f>
        <v>Grande</v>
      </c>
    </row>
    <row r="686" spans="2:15" x14ac:dyDescent="0.25">
      <c r="B686">
        <v>683</v>
      </c>
      <c r="C686" s="1">
        <v>44785</v>
      </c>
      <c r="D686" t="s">
        <v>24</v>
      </c>
      <c r="E686" t="s">
        <v>11</v>
      </c>
      <c r="F686">
        <v>50</v>
      </c>
      <c r="G686">
        <v>15</v>
      </c>
      <c r="H686">
        <v>750</v>
      </c>
      <c r="I686" t="s">
        <v>15</v>
      </c>
      <c r="J686" t="s">
        <v>12</v>
      </c>
      <c r="K686" t="s">
        <v>26</v>
      </c>
      <c r="L686">
        <f t="shared" si="30"/>
        <v>2022</v>
      </c>
      <c r="M686" s="13">
        <f t="shared" si="31"/>
        <v>44774</v>
      </c>
      <c r="N686" t="str">
        <f t="shared" si="32"/>
        <v>Cash</v>
      </c>
      <c r="O686" t="str">
        <f>IF(Tabla22[[#This Row],[quantity]]&gt;=umbral_grande, "Grande", IF(Tabla22[[#This Row],[quantity]]&gt;=umbral_mediano,"Mediano", "Pequeño"))</f>
        <v>Grande</v>
      </c>
    </row>
    <row r="687" spans="2:15" x14ac:dyDescent="0.25">
      <c r="B687">
        <v>684</v>
      </c>
      <c r="C687" s="1">
        <v>44822</v>
      </c>
      <c r="D687" t="s">
        <v>14</v>
      </c>
      <c r="E687" t="s">
        <v>11</v>
      </c>
      <c r="F687">
        <v>20</v>
      </c>
      <c r="G687">
        <v>5</v>
      </c>
      <c r="H687">
        <v>100</v>
      </c>
      <c r="I687" t="s">
        <v>15</v>
      </c>
      <c r="J687" t="s">
        <v>12</v>
      </c>
      <c r="K687" t="s">
        <v>16</v>
      </c>
      <c r="L687">
        <f t="shared" si="30"/>
        <v>2022</v>
      </c>
      <c r="M687" s="13">
        <f t="shared" si="31"/>
        <v>44805</v>
      </c>
      <c r="N687" t="str">
        <f t="shared" si="32"/>
        <v>Cash</v>
      </c>
      <c r="O687" t="str">
        <f>IF(Tabla22[[#This Row],[quantity]]&gt;=umbral_grande, "Grande", IF(Tabla22[[#This Row],[quantity]]&gt;=umbral_mediano,"Mediano", "Pequeño"))</f>
        <v>Pequeño</v>
      </c>
    </row>
    <row r="688" spans="2:15" x14ac:dyDescent="0.25">
      <c r="B688">
        <v>685</v>
      </c>
      <c r="C688" s="1">
        <v>44701</v>
      </c>
      <c r="D688" t="s">
        <v>10</v>
      </c>
      <c r="E688" t="s">
        <v>11</v>
      </c>
      <c r="F688">
        <v>20</v>
      </c>
      <c r="G688">
        <v>3</v>
      </c>
      <c r="H688">
        <v>60</v>
      </c>
      <c r="I688" t="s">
        <v>15</v>
      </c>
      <c r="J688" t="s">
        <v>22</v>
      </c>
      <c r="K688" t="s">
        <v>16</v>
      </c>
      <c r="L688">
        <f t="shared" si="30"/>
        <v>2022</v>
      </c>
      <c r="M688" s="13">
        <f t="shared" si="31"/>
        <v>44682</v>
      </c>
      <c r="N688" t="str">
        <f t="shared" si="32"/>
        <v>Cash</v>
      </c>
      <c r="O688" t="str">
        <f>IF(Tabla22[[#This Row],[quantity]]&gt;=umbral_grande, "Grande", IF(Tabla22[[#This Row],[quantity]]&gt;=umbral_mediano,"Mediano", "Pequeño"))</f>
        <v>Pequeño</v>
      </c>
    </row>
    <row r="689" spans="2:15" x14ac:dyDescent="0.25">
      <c r="B689">
        <v>686</v>
      </c>
      <c r="C689" s="1">
        <v>44890</v>
      </c>
      <c r="D689" t="s">
        <v>27</v>
      </c>
      <c r="E689" t="s">
        <v>18</v>
      </c>
      <c r="F689">
        <v>40</v>
      </c>
      <c r="G689">
        <v>5</v>
      </c>
      <c r="H689">
        <v>200</v>
      </c>
      <c r="I689" t="s">
        <v>15</v>
      </c>
      <c r="J689" t="s">
        <v>12</v>
      </c>
      <c r="K689" t="s">
        <v>16</v>
      </c>
      <c r="L689">
        <f t="shared" si="30"/>
        <v>2022</v>
      </c>
      <c r="M689" s="13">
        <f t="shared" si="31"/>
        <v>44866</v>
      </c>
      <c r="N689" t="str">
        <f t="shared" si="32"/>
        <v>Cash</v>
      </c>
      <c r="O689" t="str">
        <f>IF(Tabla22[[#This Row],[quantity]]&gt;=umbral_grande, "Grande", IF(Tabla22[[#This Row],[quantity]]&gt;=umbral_mediano,"Mediano", "Pequeño"))</f>
        <v>Pequeño</v>
      </c>
    </row>
    <row r="690" spans="2:15" x14ac:dyDescent="0.25">
      <c r="B690">
        <v>687</v>
      </c>
      <c r="C690" s="1">
        <v>44913</v>
      </c>
      <c r="D690" t="s">
        <v>14</v>
      </c>
      <c r="E690" t="s">
        <v>11</v>
      </c>
      <c r="F690">
        <v>20</v>
      </c>
      <c r="G690">
        <v>10</v>
      </c>
      <c r="H690">
        <v>200</v>
      </c>
      <c r="I690" t="s">
        <v>15</v>
      </c>
      <c r="J690" t="s">
        <v>22</v>
      </c>
      <c r="K690" t="s">
        <v>26</v>
      </c>
      <c r="L690">
        <f t="shared" si="30"/>
        <v>2022</v>
      </c>
      <c r="M690" s="13">
        <f t="shared" si="31"/>
        <v>44896</v>
      </c>
      <c r="N690" t="str">
        <f t="shared" si="32"/>
        <v>Cash</v>
      </c>
      <c r="O690" t="str">
        <f>IF(Tabla22[[#This Row],[quantity]]&gt;=umbral_grande, "Grande", IF(Tabla22[[#This Row],[quantity]]&gt;=umbral_mediano,"Mediano", "Pequeño"))</f>
        <v>Mediano</v>
      </c>
    </row>
    <row r="691" spans="2:15" x14ac:dyDescent="0.25">
      <c r="B691">
        <v>688</v>
      </c>
      <c r="C691" s="1">
        <v>44695</v>
      </c>
      <c r="D691" t="s">
        <v>24</v>
      </c>
      <c r="E691" t="s">
        <v>11</v>
      </c>
      <c r="F691">
        <v>50</v>
      </c>
      <c r="G691">
        <v>5</v>
      </c>
      <c r="H691">
        <v>250</v>
      </c>
      <c r="I691" t="s">
        <v>19</v>
      </c>
      <c r="J691" t="s">
        <v>12</v>
      </c>
      <c r="K691" t="s">
        <v>16</v>
      </c>
      <c r="L691">
        <f t="shared" si="30"/>
        <v>2022</v>
      </c>
      <c r="M691" s="13">
        <f t="shared" si="31"/>
        <v>44682</v>
      </c>
      <c r="N691" t="str">
        <f t="shared" si="32"/>
        <v>Online</v>
      </c>
      <c r="O691" t="str">
        <f>IF(Tabla22[[#This Row],[quantity]]&gt;=umbral_grande, "Grande", IF(Tabla22[[#This Row],[quantity]]&gt;=umbral_mediano,"Mediano", "Pequeño"))</f>
        <v>Pequeño</v>
      </c>
    </row>
    <row r="692" spans="2:15" x14ac:dyDescent="0.25">
      <c r="B692">
        <v>689</v>
      </c>
      <c r="C692" s="1">
        <v>44786</v>
      </c>
      <c r="D692" t="s">
        <v>14</v>
      </c>
      <c r="E692" t="s">
        <v>11</v>
      </c>
      <c r="F692">
        <v>20</v>
      </c>
      <c r="G692">
        <v>6</v>
      </c>
      <c r="H692">
        <v>120</v>
      </c>
      <c r="I692" t="s">
        <v>15</v>
      </c>
      <c r="J692" t="s">
        <v>22</v>
      </c>
      <c r="K692" t="s">
        <v>16</v>
      </c>
      <c r="L692">
        <f t="shared" si="30"/>
        <v>2022</v>
      </c>
      <c r="M692" s="13">
        <f t="shared" si="31"/>
        <v>44774</v>
      </c>
      <c r="N692" t="str">
        <f t="shared" si="32"/>
        <v>Cash</v>
      </c>
      <c r="O692" t="str">
        <f>IF(Tabla22[[#This Row],[quantity]]&gt;=umbral_grande, "Grande", IF(Tabla22[[#This Row],[quantity]]&gt;=umbral_mediano,"Mediano", "Pequeño"))</f>
        <v>Mediano</v>
      </c>
    </row>
    <row r="693" spans="2:15" x14ac:dyDescent="0.25">
      <c r="B693">
        <v>690</v>
      </c>
      <c r="C693" s="1">
        <v>44839</v>
      </c>
      <c r="D693" t="s">
        <v>14</v>
      </c>
      <c r="E693" t="s">
        <v>11</v>
      </c>
      <c r="F693">
        <v>20</v>
      </c>
      <c r="G693">
        <v>9</v>
      </c>
      <c r="H693">
        <v>180</v>
      </c>
      <c r="I693" t="s">
        <v>15</v>
      </c>
      <c r="J693" t="s">
        <v>22</v>
      </c>
      <c r="K693" t="s">
        <v>13</v>
      </c>
      <c r="L693">
        <f t="shared" si="30"/>
        <v>2022</v>
      </c>
      <c r="M693" s="13">
        <f t="shared" si="31"/>
        <v>44835</v>
      </c>
      <c r="N693" t="str">
        <f t="shared" si="32"/>
        <v>Cash</v>
      </c>
      <c r="O693" t="str">
        <f>IF(Tabla22[[#This Row],[quantity]]&gt;=umbral_grande, "Grande", IF(Tabla22[[#This Row],[quantity]]&gt;=umbral_mediano,"Mediano", "Pequeño"))</f>
        <v>Mediano</v>
      </c>
    </row>
    <row r="694" spans="2:15" x14ac:dyDescent="0.25">
      <c r="B694">
        <v>691</v>
      </c>
      <c r="C694" s="1">
        <v>44652</v>
      </c>
      <c r="D694" t="s">
        <v>25</v>
      </c>
      <c r="E694" t="s">
        <v>11</v>
      </c>
      <c r="F694">
        <v>60</v>
      </c>
      <c r="G694">
        <v>7</v>
      </c>
      <c r="H694">
        <v>420</v>
      </c>
      <c r="I694" t="s">
        <v>15</v>
      </c>
      <c r="J694" t="s">
        <v>22</v>
      </c>
      <c r="K694" t="s">
        <v>20</v>
      </c>
      <c r="L694">
        <f t="shared" si="30"/>
        <v>2022</v>
      </c>
      <c r="M694" s="13">
        <f t="shared" si="31"/>
        <v>44652</v>
      </c>
      <c r="N694" t="str">
        <f t="shared" si="32"/>
        <v>Cash</v>
      </c>
      <c r="O694" t="str">
        <f>IF(Tabla22[[#This Row],[quantity]]&gt;=umbral_grande, "Grande", IF(Tabla22[[#This Row],[quantity]]&gt;=umbral_mediano,"Mediano", "Pequeño"))</f>
        <v>Mediano</v>
      </c>
    </row>
    <row r="695" spans="2:15" x14ac:dyDescent="0.25">
      <c r="B695">
        <v>692</v>
      </c>
      <c r="C695" s="1">
        <v>44939</v>
      </c>
      <c r="D695" t="s">
        <v>24</v>
      </c>
      <c r="E695" t="s">
        <v>11</v>
      </c>
      <c r="F695">
        <v>50</v>
      </c>
      <c r="G695">
        <v>14</v>
      </c>
      <c r="H695">
        <v>700</v>
      </c>
      <c r="I695" t="s">
        <v>19</v>
      </c>
      <c r="J695" t="s">
        <v>12</v>
      </c>
      <c r="K695" t="s">
        <v>16</v>
      </c>
      <c r="L695">
        <f t="shared" si="30"/>
        <v>2023</v>
      </c>
      <c r="M695" s="13">
        <f t="shared" si="31"/>
        <v>44927</v>
      </c>
      <c r="N695" t="str">
        <f t="shared" si="32"/>
        <v>Online</v>
      </c>
      <c r="O695" t="str">
        <f>IF(Tabla22[[#This Row],[quantity]]&gt;=umbral_grande, "Grande", IF(Tabla22[[#This Row],[quantity]]&gt;=umbral_mediano,"Mediano", "Pequeño"))</f>
        <v>Grande</v>
      </c>
    </row>
    <row r="696" spans="2:15" x14ac:dyDescent="0.25">
      <c r="B696">
        <v>693</v>
      </c>
      <c r="C696" s="1">
        <v>44894</v>
      </c>
      <c r="D696" t="s">
        <v>17</v>
      </c>
      <c r="E696" t="s">
        <v>18</v>
      </c>
      <c r="F696">
        <v>25</v>
      </c>
      <c r="G696">
        <v>13</v>
      </c>
      <c r="H696">
        <v>325</v>
      </c>
      <c r="I696" t="s">
        <v>19</v>
      </c>
      <c r="J696" t="s">
        <v>22</v>
      </c>
      <c r="K696" t="s">
        <v>26</v>
      </c>
      <c r="L696">
        <f t="shared" si="30"/>
        <v>2022</v>
      </c>
      <c r="M696" s="13">
        <f t="shared" si="31"/>
        <v>44866</v>
      </c>
      <c r="N696" t="str">
        <f t="shared" si="32"/>
        <v>Online</v>
      </c>
      <c r="O696" t="str">
        <f>IF(Tabla22[[#This Row],[quantity]]&gt;=umbral_grande, "Grande", IF(Tabla22[[#This Row],[quantity]]&gt;=umbral_mediano,"Mediano", "Pequeño"))</f>
        <v>Grande</v>
      </c>
    </row>
    <row r="697" spans="2:15" x14ac:dyDescent="0.25">
      <c r="B697">
        <v>694</v>
      </c>
      <c r="C697" s="1">
        <v>44673</v>
      </c>
      <c r="D697" t="s">
        <v>21</v>
      </c>
      <c r="E697" t="s">
        <v>11</v>
      </c>
      <c r="F697">
        <v>20</v>
      </c>
      <c r="G697">
        <v>14</v>
      </c>
      <c r="H697">
        <v>280</v>
      </c>
      <c r="I697" t="s">
        <v>15</v>
      </c>
      <c r="J697" t="s">
        <v>12</v>
      </c>
      <c r="K697" t="s">
        <v>26</v>
      </c>
      <c r="L697">
        <f t="shared" si="30"/>
        <v>2022</v>
      </c>
      <c r="M697" s="13">
        <f t="shared" si="31"/>
        <v>44652</v>
      </c>
      <c r="N697" t="str">
        <f t="shared" si="32"/>
        <v>Cash</v>
      </c>
      <c r="O697" t="str">
        <f>IF(Tabla22[[#This Row],[quantity]]&gt;=umbral_grande, "Grande", IF(Tabla22[[#This Row],[quantity]]&gt;=umbral_mediano,"Mediano", "Pequeño"))</f>
        <v>Grande</v>
      </c>
    </row>
    <row r="698" spans="2:15" x14ac:dyDescent="0.25">
      <c r="B698">
        <v>695</v>
      </c>
      <c r="C698" s="1">
        <v>44797</v>
      </c>
      <c r="D698" t="s">
        <v>21</v>
      </c>
      <c r="E698" t="s">
        <v>11</v>
      </c>
      <c r="F698">
        <v>20</v>
      </c>
      <c r="G698">
        <v>10</v>
      </c>
      <c r="H698">
        <v>200</v>
      </c>
      <c r="I698" t="s">
        <v>19</v>
      </c>
      <c r="J698" t="s">
        <v>22</v>
      </c>
      <c r="K698" t="s">
        <v>26</v>
      </c>
      <c r="L698">
        <f t="shared" si="30"/>
        <v>2022</v>
      </c>
      <c r="M698" s="13">
        <f t="shared" si="31"/>
        <v>44774</v>
      </c>
      <c r="N698" t="str">
        <f t="shared" si="32"/>
        <v>Online</v>
      </c>
      <c r="O698" t="str">
        <f>IF(Tabla22[[#This Row],[quantity]]&gt;=umbral_grande, "Grande", IF(Tabla22[[#This Row],[quantity]]&gt;=umbral_mediano,"Mediano", "Pequeño"))</f>
        <v>Mediano</v>
      </c>
    </row>
    <row r="699" spans="2:15" x14ac:dyDescent="0.25">
      <c r="B699">
        <v>696</v>
      </c>
      <c r="C699" s="1">
        <v>44980</v>
      </c>
      <c r="D699" t="s">
        <v>17</v>
      </c>
      <c r="E699" t="s">
        <v>18</v>
      </c>
      <c r="F699">
        <v>25</v>
      </c>
      <c r="G699">
        <v>3</v>
      </c>
      <c r="H699">
        <v>75</v>
      </c>
      <c r="I699" t="s">
        <v>19</v>
      </c>
      <c r="J699" t="s">
        <v>22</v>
      </c>
      <c r="K699" t="s">
        <v>20</v>
      </c>
      <c r="L699">
        <f t="shared" si="30"/>
        <v>2023</v>
      </c>
      <c r="M699" s="13">
        <f t="shared" si="31"/>
        <v>44958</v>
      </c>
      <c r="N699" t="str">
        <f t="shared" si="32"/>
        <v>Online</v>
      </c>
      <c r="O699" t="str">
        <f>IF(Tabla22[[#This Row],[quantity]]&gt;=umbral_grande, "Grande", IF(Tabla22[[#This Row],[quantity]]&gt;=umbral_mediano,"Mediano", "Pequeño"))</f>
        <v>Pequeño</v>
      </c>
    </row>
    <row r="700" spans="2:15" x14ac:dyDescent="0.25">
      <c r="B700">
        <v>697</v>
      </c>
      <c r="C700" s="1">
        <v>44686</v>
      </c>
      <c r="D700" t="s">
        <v>17</v>
      </c>
      <c r="E700" t="s">
        <v>18</v>
      </c>
      <c r="F700">
        <v>25</v>
      </c>
      <c r="G700">
        <v>5</v>
      </c>
      <c r="H700">
        <v>125</v>
      </c>
      <c r="I700" t="s">
        <v>15</v>
      </c>
      <c r="J700" t="s">
        <v>12</v>
      </c>
      <c r="K700" t="s">
        <v>26</v>
      </c>
      <c r="L700">
        <f t="shared" si="30"/>
        <v>2022</v>
      </c>
      <c r="M700" s="13">
        <f t="shared" si="31"/>
        <v>44682</v>
      </c>
      <c r="N700" t="str">
        <f t="shared" si="32"/>
        <v>Cash</v>
      </c>
      <c r="O700" t="str">
        <f>IF(Tabla22[[#This Row],[quantity]]&gt;=umbral_grande, "Grande", IF(Tabla22[[#This Row],[quantity]]&gt;=umbral_mediano,"Mediano", "Pequeño"))</f>
        <v>Pequeño</v>
      </c>
    </row>
    <row r="701" spans="2:15" x14ac:dyDescent="0.25">
      <c r="B701">
        <v>698</v>
      </c>
      <c r="C701" s="1">
        <v>44891</v>
      </c>
      <c r="D701" t="s">
        <v>21</v>
      </c>
      <c r="E701" t="s">
        <v>11</v>
      </c>
      <c r="F701">
        <v>20</v>
      </c>
      <c r="G701">
        <v>10</v>
      </c>
      <c r="H701">
        <v>200</v>
      </c>
      <c r="I701" t="s">
        <v>19</v>
      </c>
      <c r="J701" t="s">
        <v>12</v>
      </c>
      <c r="K701" t="s">
        <v>13</v>
      </c>
      <c r="L701">
        <f t="shared" si="30"/>
        <v>2022</v>
      </c>
      <c r="M701" s="13">
        <f t="shared" si="31"/>
        <v>44866</v>
      </c>
      <c r="N701" t="str">
        <f t="shared" si="32"/>
        <v>Online</v>
      </c>
      <c r="O701" t="str">
        <f>IF(Tabla22[[#This Row],[quantity]]&gt;=umbral_grande, "Grande", IF(Tabla22[[#This Row],[quantity]]&gt;=umbral_mediano,"Mediano", "Pequeño"))</f>
        <v>Mediano</v>
      </c>
    </row>
    <row r="702" spans="2:15" x14ac:dyDescent="0.25">
      <c r="B702">
        <v>699</v>
      </c>
      <c r="C702" s="1">
        <v>44813</v>
      </c>
      <c r="D702" t="s">
        <v>27</v>
      </c>
      <c r="E702" t="s">
        <v>18</v>
      </c>
      <c r="F702">
        <v>40</v>
      </c>
      <c r="G702">
        <v>1</v>
      </c>
      <c r="H702">
        <v>40</v>
      </c>
      <c r="I702" t="s">
        <v>19</v>
      </c>
      <c r="J702" t="s">
        <v>12</v>
      </c>
      <c r="K702" t="s">
        <v>20</v>
      </c>
      <c r="L702">
        <f t="shared" si="30"/>
        <v>2022</v>
      </c>
      <c r="M702" s="13">
        <f t="shared" si="31"/>
        <v>44805</v>
      </c>
      <c r="N702" t="str">
        <f t="shared" si="32"/>
        <v>Online</v>
      </c>
      <c r="O702" t="str">
        <f>IF(Tabla22[[#This Row],[quantity]]&gt;=umbral_grande, "Grande", IF(Tabla22[[#This Row],[quantity]]&gt;=umbral_mediano,"Mediano", "Pequeño"))</f>
        <v>Pequeño</v>
      </c>
    </row>
    <row r="703" spans="2:15" x14ac:dyDescent="0.25">
      <c r="B703">
        <v>700</v>
      </c>
      <c r="C703" s="1">
        <v>44880</v>
      </c>
      <c r="D703" t="s">
        <v>24</v>
      </c>
      <c r="E703" t="s">
        <v>11</v>
      </c>
      <c r="F703">
        <v>50</v>
      </c>
      <c r="G703">
        <v>6</v>
      </c>
      <c r="H703">
        <v>300</v>
      </c>
      <c r="I703" t="s">
        <v>15</v>
      </c>
      <c r="J703" t="s">
        <v>22</v>
      </c>
      <c r="K703" t="s">
        <v>20</v>
      </c>
      <c r="L703">
        <f t="shared" si="30"/>
        <v>2022</v>
      </c>
      <c r="M703" s="13">
        <f t="shared" si="31"/>
        <v>44866</v>
      </c>
      <c r="N703" t="str">
        <f t="shared" si="32"/>
        <v>Cash</v>
      </c>
      <c r="O703" t="str">
        <f>IF(Tabla22[[#This Row],[quantity]]&gt;=umbral_grande, "Grande", IF(Tabla22[[#This Row],[quantity]]&gt;=umbral_mediano,"Mediano", "Pequeño"))</f>
        <v>Mediano</v>
      </c>
    </row>
    <row r="704" spans="2:15" x14ac:dyDescent="0.25">
      <c r="B704">
        <v>701</v>
      </c>
      <c r="C704" s="1">
        <v>44761</v>
      </c>
      <c r="D704" t="s">
        <v>17</v>
      </c>
      <c r="E704" t="s">
        <v>18</v>
      </c>
      <c r="F704">
        <v>25</v>
      </c>
      <c r="G704">
        <v>14</v>
      </c>
      <c r="H704">
        <v>350</v>
      </c>
      <c r="I704" t="s">
        <v>19</v>
      </c>
      <c r="J704" t="s">
        <v>22</v>
      </c>
      <c r="K704" t="s">
        <v>20</v>
      </c>
      <c r="L704">
        <f t="shared" si="30"/>
        <v>2022</v>
      </c>
      <c r="M704" s="13">
        <f t="shared" si="31"/>
        <v>44743</v>
      </c>
      <c r="N704" t="str">
        <f t="shared" si="32"/>
        <v>Online</v>
      </c>
      <c r="O704" t="str">
        <f>IF(Tabla22[[#This Row],[quantity]]&gt;=umbral_grande, "Grande", IF(Tabla22[[#This Row],[quantity]]&gt;=umbral_mediano,"Mediano", "Pequeño"))</f>
        <v>Grande</v>
      </c>
    </row>
    <row r="705" spans="2:15" x14ac:dyDescent="0.25">
      <c r="B705">
        <v>702</v>
      </c>
      <c r="C705" s="1">
        <v>45010</v>
      </c>
      <c r="D705" t="s">
        <v>27</v>
      </c>
      <c r="E705" t="s">
        <v>18</v>
      </c>
      <c r="F705">
        <v>40</v>
      </c>
      <c r="G705">
        <v>13</v>
      </c>
      <c r="H705">
        <v>520</v>
      </c>
      <c r="I705" t="s">
        <v>15</v>
      </c>
      <c r="J705" t="s">
        <v>22</v>
      </c>
      <c r="K705" t="s">
        <v>16</v>
      </c>
      <c r="L705">
        <f t="shared" si="30"/>
        <v>2023</v>
      </c>
      <c r="M705" s="13">
        <f t="shared" si="31"/>
        <v>44986</v>
      </c>
      <c r="N705" t="str">
        <f t="shared" si="32"/>
        <v>Cash</v>
      </c>
      <c r="O705" t="str">
        <f>IF(Tabla22[[#This Row],[quantity]]&gt;=umbral_grande, "Grande", IF(Tabla22[[#This Row],[quantity]]&gt;=umbral_mediano,"Mediano", "Pequeño"))</f>
        <v>Grande</v>
      </c>
    </row>
    <row r="706" spans="2:15" x14ac:dyDescent="0.25">
      <c r="B706">
        <v>703</v>
      </c>
      <c r="C706" s="1">
        <v>44866</v>
      </c>
      <c r="D706" t="s">
        <v>21</v>
      </c>
      <c r="E706" t="s">
        <v>11</v>
      </c>
      <c r="F706">
        <v>20</v>
      </c>
      <c r="G706">
        <v>10</v>
      </c>
      <c r="H706">
        <v>200</v>
      </c>
      <c r="I706" t="s">
        <v>19</v>
      </c>
      <c r="J706" t="s">
        <v>22</v>
      </c>
      <c r="K706" t="s">
        <v>16</v>
      </c>
      <c r="L706">
        <f t="shared" si="30"/>
        <v>2022</v>
      </c>
      <c r="M706" s="13">
        <f t="shared" si="31"/>
        <v>44866</v>
      </c>
      <c r="N706" t="str">
        <f t="shared" si="32"/>
        <v>Online</v>
      </c>
      <c r="O706" t="str">
        <f>IF(Tabla22[[#This Row],[quantity]]&gt;=umbral_grande, "Grande", IF(Tabla22[[#This Row],[quantity]]&gt;=umbral_mediano,"Mediano", "Pequeño"))</f>
        <v>Mediano</v>
      </c>
    </row>
    <row r="707" spans="2:15" x14ac:dyDescent="0.25">
      <c r="B707">
        <v>704</v>
      </c>
      <c r="C707" s="1">
        <v>44787</v>
      </c>
      <c r="D707" t="s">
        <v>25</v>
      </c>
      <c r="E707" t="s">
        <v>11</v>
      </c>
      <c r="F707">
        <v>60</v>
      </c>
      <c r="G707">
        <v>1</v>
      </c>
      <c r="H707">
        <v>60</v>
      </c>
      <c r="I707" t="s">
        <v>19</v>
      </c>
      <c r="J707" t="s">
        <v>22</v>
      </c>
      <c r="K707" t="s">
        <v>20</v>
      </c>
      <c r="L707">
        <f t="shared" si="30"/>
        <v>2022</v>
      </c>
      <c r="M707" s="13">
        <f t="shared" si="31"/>
        <v>44774</v>
      </c>
      <c r="N707" t="str">
        <f t="shared" si="32"/>
        <v>Online</v>
      </c>
      <c r="O707" t="str">
        <f>IF(Tabla22[[#This Row],[quantity]]&gt;=umbral_grande, "Grande", IF(Tabla22[[#This Row],[quantity]]&gt;=umbral_mediano,"Mediano", "Pequeño"))</f>
        <v>Pequeño</v>
      </c>
    </row>
    <row r="708" spans="2:15" x14ac:dyDescent="0.25">
      <c r="B708">
        <v>705</v>
      </c>
      <c r="C708" s="1">
        <v>44841</v>
      </c>
      <c r="D708" t="s">
        <v>25</v>
      </c>
      <c r="E708" t="s">
        <v>11</v>
      </c>
      <c r="F708">
        <v>60</v>
      </c>
      <c r="G708">
        <v>6</v>
      </c>
      <c r="H708">
        <v>360</v>
      </c>
      <c r="I708" t="s">
        <v>19</v>
      </c>
      <c r="J708" t="s">
        <v>12</v>
      </c>
      <c r="K708" t="s">
        <v>20</v>
      </c>
      <c r="L708">
        <f t="shared" si="30"/>
        <v>2022</v>
      </c>
      <c r="M708" s="13">
        <f t="shared" si="31"/>
        <v>44835</v>
      </c>
      <c r="N708" t="str">
        <f t="shared" si="32"/>
        <v>Online</v>
      </c>
      <c r="O708" t="str">
        <f>IF(Tabla22[[#This Row],[quantity]]&gt;=umbral_grande, "Grande", IF(Tabla22[[#This Row],[quantity]]&gt;=umbral_mediano,"Mediano", "Pequeño"))</f>
        <v>Mediano</v>
      </c>
    </row>
    <row r="709" spans="2:15" x14ac:dyDescent="0.25">
      <c r="B709">
        <v>706</v>
      </c>
      <c r="C709" s="1">
        <v>44962</v>
      </c>
      <c r="D709" t="s">
        <v>24</v>
      </c>
      <c r="E709" t="s">
        <v>11</v>
      </c>
      <c r="F709">
        <v>50</v>
      </c>
      <c r="G709">
        <v>8</v>
      </c>
      <c r="H709">
        <v>400</v>
      </c>
      <c r="I709" t="s">
        <v>19</v>
      </c>
      <c r="J709" t="s">
        <v>12</v>
      </c>
      <c r="K709" t="s">
        <v>13</v>
      </c>
      <c r="L709">
        <f t="shared" ref="L709:L772" si="33">YEAR(C709)</f>
        <v>2023</v>
      </c>
      <c r="M709" s="13">
        <f t="shared" ref="M709:M772" si="34">DATE(YEAR(C709),MONTH(C709),1)</f>
        <v>44958</v>
      </c>
      <c r="N709" t="str">
        <f t="shared" ref="N709:N772" si="35">IF(I709 = "", "Sin registrar",I709)</f>
        <v>Online</v>
      </c>
      <c r="O709" t="str">
        <f>IF(Tabla22[[#This Row],[quantity]]&gt;=umbral_grande, "Grande", IF(Tabla22[[#This Row],[quantity]]&gt;=umbral_mediano,"Mediano", "Pequeño"))</f>
        <v>Mediano</v>
      </c>
    </row>
    <row r="710" spans="2:15" x14ac:dyDescent="0.25">
      <c r="B710">
        <v>707</v>
      </c>
      <c r="C710" s="1">
        <v>44911</v>
      </c>
      <c r="D710" t="s">
        <v>21</v>
      </c>
      <c r="E710" t="s">
        <v>11</v>
      </c>
      <c r="F710">
        <v>20</v>
      </c>
      <c r="G710">
        <v>2</v>
      </c>
      <c r="H710">
        <v>40</v>
      </c>
      <c r="I710" t="s">
        <v>19</v>
      </c>
      <c r="J710" t="s">
        <v>12</v>
      </c>
      <c r="K710" t="s">
        <v>13</v>
      </c>
      <c r="L710">
        <f t="shared" si="33"/>
        <v>2022</v>
      </c>
      <c r="M710" s="13">
        <f t="shared" si="34"/>
        <v>44896</v>
      </c>
      <c r="N710" t="str">
        <f t="shared" si="35"/>
        <v>Online</v>
      </c>
      <c r="O710" t="str">
        <f>IF(Tabla22[[#This Row],[quantity]]&gt;=umbral_grande, "Grande", IF(Tabla22[[#This Row],[quantity]]&gt;=umbral_mediano,"Mediano", "Pequeño"))</f>
        <v>Pequeño</v>
      </c>
    </row>
    <row r="711" spans="2:15" x14ac:dyDescent="0.25">
      <c r="B711">
        <v>708</v>
      </c>
      <c r="C711" s="1">
        <v>45000</v>
      </c>
      <c r="D711" t="s">
        <v>25</v>
      </c>
      <c r="E711" t="s">
        <v>11</v>
      </c>
      <c r="F711">
        <v>60</v>
      </c>
      <c r="G711">
        <v>5</v>
      </c>
      <c r="H711">
        <v>300</v>
      </c>
      <c r="I711" t="s">
        <v>15</v>
      </c>
      <c r="J711" t="s">
        <v>22</v>
      </c>
      <c r="K711" t="s">
        <v>26</v>
      </c>
      <c r="L711">
        <f t="shared" si="33"/>
        <v>2023</v>
      </c>
      <c r="M711" s="13">
        <f t="shared" si="34"/>
        <v>44986</v>
      </c>
      <c r="N711" t="str">
        <f t="shared" si="35"/>
        <v>Cash</v>
      </c>
      <c r="O711" t="str">
        <f>IF(Tabla22[[#This Row],[quantity]]&gt;=umbral_grande, "Grande", IF(Tabla22[[#This Row],[quantity]]&gt;=umbral_mediano,"Mediano", "Pequeño"))</f>
        <v>Pequeño</v>
      </c>
    </row>
    <row r="712" spans="2:15" x14ac:dyDescent="0.25">
      <c r="B712">
        <v>709</v>
      </c>
      <c r="C712" s="1">
        <v>44979</v>
      </c>
      <c r="D712" t="s">
        <v>27</v>
      </c>
      <c r="E712" t="s">
        <v>18</v>
      </c>
      <c r="F712">
        <v>40</v>
      </c>
      <c r="G712">
        <v>6</v>
      </c>
      <c r="H712">
        <v>240</v>
      </c>
      <c r="I712" t="s">
        <v>15</v>
      </c>
      <c r="J712" t="s">
        <v>12</v>
      </c>
      <c r="K712" t="s">
        <v>23</v>
      </c>
      <c r="L712">
        <f t="shared" si="33"/>
        <v>2023</v>
      </c>
      <c r="M712" s="13">
        <f t="shared" si="34"/>
        <v>44958</v>
      </c>
      <c r="N712" t="str">
        <f t="shared" si="35"/>
        <v>Cash</v>
      </c>
      <c r="O712" t="str">
        <f>IF(Tabla22[[#This Row],[quantity]]&gt;=umbral_grande, "Grande", IF(Tabla22[[#This Row],[quantity]]&gt;=umbral_mediano,"Mediano", "Pequeño"))</f>
        <v>Mediano</v>
      </c>
    </row>
    <row r="713" spans="2:15" x14ac:dyDescent="0.25">
      <c r="B713">
        <v>710</v>
      </c>
      <c r="C713" s="1">
        <v>45000</v>
      </c>
      <c r="D713" t="s">
        <v>25</v>
      </c>
      <c r="E713" t="s">
        <v>11</v>
      </c>
      <c r="F713">
        <v>60</v>
      </c>
      <c r="G713">
        <v>15</v>
      </c>
      <c r="H713">
        <v>900</v>
      </c>
      <c r="J713" t="s">
        <v>12</v>
      </c>
      <c r="K713" t="s">
        <v>13</v>
      </c>
      <c r="L713">
        <f t="shared" si="33"/>
        <v>2023</v>
      </c>
      <c r="M713" s="13">
        <f t="shared" si="34"/>
        <v>44986</v>
      </c>
      <c r="N713" t="str">
        <f t="shared" si="35"/>
        <v>Sin registrar</v>
      </c>
      <c r="O713" t="str">
        <f>IF(Tabla22[[#This Row],[quantity]]&gt;=umbral_grande, "Grande", IF(Tabla22[[#This Row],[quantity]]&gt;=umbral_mediano,"Mediano", "Pequeño"))</f>
        <v>Grande</v>
      </c>
    </row>
    <row r="714" spans="2:15" x14ac:dyDescent="0.25">
      <c r="B714">
        <v>711</v>
      </c>
      <c r="C714" s="1">
        <v>44864</v>
      </c>
      <c r="D714" t="s">
        <v>10</v>
      </c>
      <c r="E714" t="s">
        <v>11</v>
      </c>
      <c r="F714">
        <v>20</v>
      </c>
      <c r="G714">
        <v>3</v>
      </c>
      <c r="H714">
        <v>60</v>
      </c>
      <c r="I714" t="s">
        <v>15</v>
      </c>
      <c r="J714" t="s">
        <v>12</v>
      </c>
      <c r="K714" t="s">
        <v>16</v>
      </c>
      <c r="L714">
        <f t="shared" si="33"/>
        <v>2022</v>
      </c>
      <c r="M714" s="13">
        <f t="shared" si="34"/>
        <v>44835</v>
      </c>
      <c r="N714" t="str">
        <f t="shared" si="35"/>
        <v>Cash</v>
      </c>
      <c r="O714" t="str">
        <f>IF(Tabla22[[#This Row],[quantity]]&gt;=umbral_grande, "Grande", IF(Tabla22[[#This Row],[quantity]]&gt;=umbral_mediano,"Mediano", "Pequeño"))</f>
        <v>Pequeño</v>
      </c>
    </row>
    <row r="715" spans="2:15" x14ac:dyDescent="0.25">
      <c r="B715">
        <v>712</v>
      </c>
      <c r="C715" s="1">
        <v>44912</v>
      </c>
      <c r="D715" t="s">
        <v>14</v>
      </c>
      <c r="E715" t="s">
        <v>11</v>
      </c>
      <c r="F715">
        <v>20</v>
      </c>
      <c r="G715">
        <v>3</v>
      </c>
      <c r="H715">
        <v>60</v>
      </c>
      <c r="I715" t="s">
        <v>19</v>
      </c>
      <c r="J715" t="s">
        <v>22</v>
      </c>
      <c r="K715" t="s">
        <v>26</v>
      </c>
      <c r="L715">
        <f t="shared" si="33"/>
        <v>2022</v>
      </c>
      <c r="M715" s="13">
        <f t="shared" si="34"/>
        <v>44896</v>
      </c>
      <c r="N715" t="str">
        <f t="shared" si="35"/>
        <v>Online</v>
      </c>
      <c r="O715" t="str">
        <f>IF(Tabla22[[#This Row],[quantity]]&gt;=umbral_grande, "Grande", IF(Tabla22[[#This Row],[quantity]]&gt;=umbral_mediano,"Mediano", "Pequeño"))</f>
        <v>Pequeño</v>
      </c>
    </row>
    <row r="716" spans="2:15" x14ac:dyDescent="0.25">
      <c r="B716">
        <v>713</v>
      </c>
      <c r="C716" s="1">
        <v>44897</v>
      </c>
      <c r="D716" t="s">
        <v>17</v>
      </c>
      <c r="E716" t="s">
        <v>18</v>
      </c>
      <c r="F716">
        <v>25</v>
      </c>
      <c r="G716">
        <v>14</v>
      </c>
      <c r="H716">
        <v>350</v>
      </c>
      <c r="I716" t="s">
        <v>19</v>
      </c>
      <c r="J716" t="s">
        <v>22</v>
      </c>
      <c r="K716" t="s">
        <v>23</v>
      </c>
      <c r="L716">
        <f t="shared" si="33"/>
        <v>2022</v>
      </c>
      <c r="M716" s="13">
        <f t="shared" si="34"/>
        <v>44896</v>
      </c>
      <c r="N716" t="str">
        <f t="shared" si="35"/>
        <v>Online</v>
      </c>
      <c r="O716" t="str">
        <f>IF(Tabla22[[#This Row],[quantity]]&gt;=umbral_grande, "Grande", IF(Tabla22[[#This Row],[quantity]]&gt;=umbral_mediano,"Mediano", "Pequeño"))</f>
        <v>Grande</v>
      </c>
    </row>
    <row r="717" spans="2:15" x14ac:dyDescent="0.25">
      <c r="B717">
        <v>714</v>
      </c>
      <c r="C717" s="1">
        <v>44909</v>
      </c>
      <c r="D717" t="s">
        <v>17</v>
      </c>
      <c r="E717" t="s">
        <v>18</v>
      </c>
      <c r="F717">
        <v>25</v>
      </c>
      <c r="G717">
        <v>14</v>
      </c>
      <c r="H717">
        <v>350</v>
      </c>
      <c r="I717" t="s">
        <v>15</v>
      </c>
      <c r="J717" t="s">
        <v>12</v>
      </c>
      <c r="K717" t="s">
        <v>16</v>
      </c>
      <c r="L717">
        <f t="shared" si="33"/>
        <v>2022</v>
      </c>
      <c r="M717" s="13">
        <f t="shared" si="34"/>
        <v>44896</v>
      </c>
      <c r="N717" t="str">
        <f t="shared" si="35"/>
        <v>Cash</v>
      </c>
      <c r="O717" t="str">
        <f>IF(Tabla22[[#This Row],[quantity]]&gt;=umbral_grande, "Grande", IF(Tabla22[[#This Row],[quantity]]&gt;=umbral_mediano,"Mediano", "Pequeño"))</f>
        <v>Grande</v>
      </c>
    </row>
    <row r="718" spans="2:15" x14ac:dyDescent="0.25">
      <c r="B718">
        <v>715</v>
      </c>
      <c r="C718" s="1">
        <v>44663</v>
      </c>
      <c r="D718" t="s">
        <v>25</v>
      </c>
      <c r="E718" t="s">
        <v>11</v>
      </c>
      <c r="F718">
        <v>60</v>
      </c>
      <c r="G718">
        <v>1</v>
      </c>
      <c r="H718">
        <v>60</v>
      </c>
      <c r="I718" t="s">
        <v>19</v>
      </c>
      <c r="J718" t="s">
        <v>12</v>
      </c>
      <c r="K718" t="s">
        <v>23</v>
      </c>
      <c r="L718">
        <f t="shared" si="33"/>
        <v>2022</v>
      </c>
      <c r="M718" s="13">
        <f t="shared" si="34"/>
        <v>44652</v>
      </c>
      <c r="N718" t="str">
        <f t="shared" si="35"/>
        <v>Online</v>
      </c>
      <c r="O718" t="str">
        <f>IF(Tabla22[[#This Row],[quantity]]&gt;=umbral_grande, "Grande", IF(Tabla22[[#This Row],[quantity]]&gt;=umbral_mediano,"Mediano", "Pequeño"))</f>
        <v>Pequeño</v>
      </c>
    </row>
    <row r="719" spans="2:15" x14ac:dyDescent="0.25">
      <c r="B719">
        <v>716</v>
      </c>
      <c r="C719" s="1">
        <v>44898</v>
      </c>
      <c r="D719" t="s">
        <v>21</v>
      </c>
      <c r="E719" t="s">
        <v>11</v>
      </c>
      <c r="F719">
        <v>20</v>
      </c>
      <c r="G719">
        <v>9</v>
      </c>
      <c r="H719">
        <v>180</v>
      </c>
      <c r="I719" t="s">
        <v>15</v>
      </c>
      <c r="J719" t="s">
        <v>22</v>
      </c>
      <c r="K719" t="s">
        <v>26</v>
      </c>
      <c r="L719">
        <f t="shared" si="33"/>
        <v>2022</v>
      </c>
      <c r="M719" s="13">
        <f t="shared" si="34"/>
        <v>44896</v>
      </c>
      <c r="N719" t="str">
        <f t="shared" si="35"/>
        <v>Cash</v>
      </c>
      <c r="O719" t="str">
        <f>IF(Tabla22[[#This Row],[quantity]]&gt;=umbral_grande, "Grande", IF(Tabla22[[#This Row],[quantity]]&gt;=umbral_mediano,"Mediano", "Pequeño"))</f>
        <v>Mediano</v>
      </c>
    </row>
    <row r="720" spans="2:15" x14ac:dyDescent="0.25">
      <c r="B720">
        <v>717</v>
      </c>
      <c r="C720" s="1">
        <v>44845</v>
      </c>
      <c r="D720" t="s">
        <v>17</v>
      </c>
      <c r="E720" t="s">
        <v>18</v>
      </c>
      <c r="F720">
        <v>25</v>
      </c>
      <c r="G720">
        <v>15</v>
      </c>
      <c r="H720">
        <v>375</v>
      </c>
      <c r="J720" t="s">
        <v>22</v>
      </c>
      <c r="K720" t="s">
        <v>20</v>
      </c>
      <c r="L720">
        <f t="shared" si="33"/>
        <v>2022</v>
      </c>
      <c r="M720" s="13">
        <f t="shared" si="34"/>
        <v>44835</v>
      </c>
      <c r="N720" t="str">
        <f t="shared" si="35"/>
        <v>Sin registrar</v>
      </c>
      <c r="O720" t="str">
        <f>IF(Tabla22[[#This Row],[quantity]]&gt;=umbral_grande, "Grande", IF(Tabla22[[#This Row],[quantity]]&gt;=umbral_mediano,"Mediano", "Pequeño"))</f>
        <v>Grande</v>
      </c>
    </row>
    <row r="721" spans="2:15" x14ac:dyDescent="0.25">
      <c r="B721">
        <v>718</v>
      </c>
      <c r="C721" s="1">
        <v>44923</v>
      </c>
      <c r="D721" t="s">
        <v>10</v>
      </c>
      <c r="E721" t="s">
        <v>11</v>
      </c>
      <c r="F721">
        <v>20</v>
      </c>
      <c r="G721">
        <v>2</v>
      </c>
      <c r="H721">
        <v>40</v>
      </c>
      <c r="I721" t="s">
        <v>19</v>
      </c>
      <c r="J721" t="s">
        <v>12</v>
      </c>
      <c r="K721" t="s">
        <v>16</v>
      </c>
      <c r="L721">
        <f t="shared" si="33"/>
        <v>2022</v>
      </c>
      <c r="M721" s="13">
        <f t="shared" si="34"/>
        <v>44896</v>
      </c>
      <c r="N721" t="str">
        <f t="shared" si="35"/>
        <v>Online</v>
      </c>
      <c r="O721" t="str">
        <f>IF(Tabla22[[#This Row],[quantity]]&gt;=umbral_grande, "Grande", IF(Tabla22[[#This Row],[quantity]]&gt;=umbral_mediano,"Mediano", "Pequeño"))</f>
        <v>Pequeño</v>
      </c>
    </row>
    <row r="722" spans="2:15" x14ac:dyDescent="0.25">
      <c r="B722">
        <v>719</v>
      </c>
      <c r="C722" s="1">
        <v>44690</v>
      </c>
      <c r="D722" t="s">
        <v>14</v>
      </c>
      <c r="E722" t="s">
        <v>11</v>
      </c>
      <c r="F722">
        <v>20</v>
      </c>
      <c r="G722">
        <v>15</v>
      </c>
      <c r="H722">
        <v>300</v>
      </c>
      <c r="I722" t="s">
        <v>15</v>
      </c>
      <c r="J722" t="s">
        <v>22</v>
      </c>
      <c r="K722" t="s">
        <v>26</v>
      </c>
      <c r="L722">
        <f t="shared" si="33"/>
        <v>2022</v>
      </c>
      <c r="M722" s="13">
        <f t="shared" si="34"/>
        <v>44682</v>
      </c>
      <c r="N722" t="str">
        <f t="shared" si="35"/>
        <v>Cash</v>
      </c>
      <c r="O722" t="str">
        <f>IF(Tabla22[[#This Row],[quantity]]&gt;=umbral_grande, "Grande", IF(Tabla22[[#This Row],[quantity]]&gt;=umbral_mediano,"Mediano", "Pequeño"))</f>
        <v>Grande</v>
      </c>
    </row>
    <row r="723" spans="2:15" x14ac:dyDescent="0.25">
      <c r="B723">
        <v>720</v>
      </c>
      <c r="C723" s="1">
        <v>44691</v>
      </c>
      <c r="D723" t="s">
        <v>24</v>
      </c>
      <c r="E723" t="s">
        <v>11</v>
      </c>
      <c r="F723">
        <v>50</v>
      </c>
      <c r="G723">
        <v>14</v>
      </c>
      <c r="H723">
        <v>700</v>
      </c>
      <c r="I723" t="s">
        <v>15</v>
      </c>
      <c r="J723" t="s">
        <v>22</v>
      </c>
      <c r="K723" t="s">
        <v>23</v>
      </c>
      <c r="L723">
        <f t="shared" si="33"/>
        <v>2022</v>
      </c>
      <c r="M723" s="13">
        <f t="shared" si="34"/>
        <v>44682</v>
      </c>
      <c r="N723" t="str">
        <f t="shared" si="35"/>
        <v>Cash</v>
      </c>
      <c r="O723" t="str">
        <f>IF(Tabla22[[#This Row],[quantity]]&gt;=umbral_grande, "Grande", IF(Tabla22[[#This Row],[quantity]]&gt;=umbral_mediano,"Mediano", "Pequeño"))</f>
        <v>Grande</v>
      </c>
    </row>
    <row r="724" spans="2:15" x14ac:dyDescent="0.25">
      <c r="B724">
        <v>721</v>
      </c>
      <c r="C724" s="1">
        <v>44786</v>
      </c>
      <c r="D724" t="s">
        <v>21</v>
      </c>
      <c r="E724" t="s">
        <v>11</v>
      </c>
      <c r="F724">
        <v>20</v>
      </c>
      <c r="G724">
        <v>12</v>
      </c>
      <c r="H724">
        <v>240</v>
      </c>
      <c r="J724" t="s">
        <v>12</v>
      </c>
      <c r="K724" t="s">
        <v>16</v>
      </c>
      <c r="L724">
        <f t="shared" si="33"/>
        <v>2022</v>
      </c>
      <c r="M724" s="13">
        <f t="shared" si="34"/>
        <v>44774</v>
      </c>
      <c r="N724" t="str">
        <f t="shared" si="35"/>
        <v>Sin registrar</v>
      </c>
      <c r="O724" t="str">
        <f>IF(Tabla22[[#This Row],[quantity]]&gt;=umbral_grande, "Grande", IF(Tabla22[[#This Row],[quantity]]&gt;=umbral_mediano,"Mediano", "Pequeño"))</f>
        <v>Grande</v>
      </c>
    </row>
    <row r="725" spans="2:15" x14ac:dyDescent="0.25">
      <c r="B725">
        <v>722</v>
      </c>
      <c r="C725" s="1">
        <v>44818</v>
      </c>
      <c r="D725" t="s">
        <v>14</v>
      </c>
      <c r="E725" t="s">
        <v>11</v>
      </c>
      <c r="F725">
        <v>20</v>
      </c>
      <c r="G725">
        <v>15</v>
      </c>
      <c r="H725">
        <v>300</v>
      </c>
      <c r="J725" t="s">
        <v>12</v>
      </c>
      <c r="K725" t="s">
        <v>26</v>
      </c>
      <c r="L725">
        <f t="shared" si="33"/>
        <v>2022</v>
      </c>
      <c r="M725" s="13">
        <f t="shared" si="34"/>
        <v>44805</v>
      </c>
      <c r="N725" t="str">
        <f t="shared" si="35"/>
        <v>Sin registrar</v>
      </c>
      <c r="O725" t="str">
        <f>IF(Tabla22[[#This Row],[quantity]]&gt;=umbral_grande, "Grande", IF(Tabla22[[#This Row],[quantity]]&gt;=umbral_mediano,"Mediano", "Pequeño"))</f>
        <v>Grande</v>
      </c>
    </row>
    <row r="726" spans="2:15" x14ac:dyDescent="0.25">
      <c r="B726">
        <v>723</v>
      </c>
      <c r="C726" s="1">
        <v>44973</v>
      </c>
      <c r="D726" t="s">
        <v>27</v>
      </c>
      <c r="E726" t="s">
        <v>18</v>
      </c>
      <c r="F726">
        <v>40</v>
      </c>
      <c r="G726">
        <v>10</v>
      </c>
      <c r="H726">
        <v>400</v>
      </c>
      <c r="I726" t="s">
        <v>19</v>
      </c>
      <c r="J726" t="s">
        <v>12</v>
      </c>
      <c r="K726" t="s">
        <v>20</v>
      </c>
      <c r="L726">
        <f t="shared" si="33"/>
        <v>2023</v>
      </c>
      <c r="M726" s="13">
        <f t="shared" si="34"/>
        <v>44958</v>
      </c>
      <c r="N726" t="str">
        <f t="shared" si="35"/>
        <v>Online</v>
      </c>
      <c r="O726" t="str">
        <f>IF(Tabla22[[#This Row],[quantity]]&gt;=umbral_grande, "Grande", IF(Tabla22[[#This Row],[quantity]]&gt;=umbral_mediano,"Mediano", "Pequeño"))</f>
        <v>Mediano</v>
      </c>
    </row>
    <row r="727" spans="2:15" x14ac:dyDescent="0.25">
      <c r="B727">
        <v>724</v>
      </c>
      <c r="C727" s="1">
        <v>44739</v>
      </c>
      <c r="D727" t="s">
        <v>24</v>
      </c>
      <c r="E727" t="s">
        <v>11</v>
      </c>
      <c r="F727">
        <v>50</v>
      </c>
      <c r="G727">
        <v>10</v>
      </c>
      <c r="H727">
        <v>500</v>
      </c>
      <c r="I727" t="s">
        <v>15</v>
      </c>
      <c r="J727" t="s">
        <v>22</v>
      </c>
      <c r="K727" t="s">
        <v>13</v>
      </c>
      <c r="L727">
        <f t="shared" si="33"/>
        <v>2022</v>
      </c>
      <c r="M727" s="13">
        <f t="shared" si="34"/>
        <v>44713</v>
      </c>
      <c r="N727" t="str">
        <f t="shared" si="35"/>
        <v>Cash</v>
      </c>
      <c r="O727" t="str">
        <f>IF(Tabla22[[#This Row],[quantity]]&gt;=umbral_grande, "Grande", IF(Tabla22[[#This Row],[quantity]]&gt;=umbral_mediano,"Mediano", "Pequeño"))</f>
        <v>Mediano</v>
      </c>
    </row>
    <row r="728" spans="2:15" x14ac:dyDescent="0.25">
      <c r="B728">
        <v>725</v>
      </c>
      <c r="C728" s="1">
        <v>44746</v>
      </c>
      <c r="D728" t="s">
        <v>14</v>
      </c>
      <c r="E728" t="s">
        <v>11</v>
      </c>
      <c r="F728">
        <v>20</v>
      </c>
      <c r="G728">
        <v>6</v>
      </c>
      <c r="H728">
        <v>120</v>
      </c>
      <c r="I728" t="s">
        <v>19</v>
      </c>
      <c r="J728" t="s">
        <v>22</v>
      </c>
      <c r="K728" t="s">
        <v>16</v>
      </c>
      <c r="L728">
        <f t="shared" si="33"/>
        <v>2022</v>
      </c>
      <c r="M728" s="13">
        <f t="shared" si="34"/>
        <v>44743</v>
      </c>
      <c r="N728" t="str">
        <f t="shared" si="35"/>
        <v>Online</v>
      </c>
      <c r="O728" t="str">
        <f>IF(Tabla22[[#This Row],[quantity]]&gt;=umbral_grande, "Grande", IF(Tabla22[[#This Row],[quantity]]&gt;=umbral_mediano,"Mediano", "Pequeño"))</f>
        <v>Mediano</v>
      </c>
    </row>
    <row r="729" spans="2:15" x14ac:dyDescent="0.25">
      <c r="B729">
        <v>726</v>
      </c>
      <c r="C729" s="1">
        <v>44815</v>
      </c>
      <c r="D729" t="s">
        <v>21</v>
      </c>
      <c r="E729" t="s">
        <v>11</v>
      </c>
      <c r="F729">
        <v>20</v>
      </c>
      <c r="G729">
        <v>1</v>
      </c>
      <c r="H729">
        <v>20</v>
      </c>
      <c r="I729" t="s">
        <v>19</v>
      </c>
      <c r="J729" t="s">
        <v>12</v>
      </c>
      <c r="K729" t="s">
        <v>23</v>
      </c>
      <c r="L729">
        <f t="shared" si="33"/>
        <v>2022</v>
      </c>
      <c r="M729" s="13">
        <f t="shared" si="34"/>
        <v>44805</v>
      </c>
      <c r="N729" t="str">
        <f t="shared" si="35"/>
        <v>Online</v>
      </c>
      <c r="O729" t="str">
        <f>IF(Tabla22[[#This Row],[quantity]]&gt;=umbral_grande, "Grande", IF(Tabla22[[#This Row],[quantity]]&gt;=umbral_mediano,"Mediano", "Pequeño"))</f>
        <v>Pequeño</v>
      </c>
    </row>
    <row r="730" spans="2:15" x14ac:dyDescent="0.25">
      <c r="B730">
        <v>727</v>
      </c>
      <c r="C730" s="1">
        <v>44798</v>
      </c>
      <c r="D730" t="s">
        <v>10</v>
      </c>
      <c r="E730" t="s">
        <v>11</v>
      </c>
      <c r="F730">
        <v>20</v>
      </c>
      <c r="G730">
        <v>5</v>
      </c>
      <c r="H730">
        <v>100</v>
      </c>
      <c r="I730" t="s">
        <v>15</v>
      </c>
      <c r="J730" t="s">
        <v>22</v>
      </c>
      <c r="K730" t="s">
        <v>26</v>
      </c>
      <c r="L730">
        <f t="shared" si="33"/>
        <v>2022</v>
      </c>
      <c r="M730" s="13">
        <f t="shared" si="34"/>
        <v>44774</v>
      </c>
      <c r="N730" t="str">
        <f t="shared" si="35"/>
        <v>Cash</v>
      </c>
      <c r="O730" t="str">
        <f>IF(Tabla22[[#This Row],[quantity]]&gt;=umbral_grande, "Grande", IF(Tabla22[[#This Row],[quantity]]&gt;=umbral_mediano,"Mediano", "Pequeño"))</f>
        <v>Pequeño</v>
      </c>
    </row>
    <row r="731" spans="2:15" x14ac:dyDescent="0.25">
      <c r="B731">
        <v>728</v>
      </c>
      <c r="C731" s="1">
        <v>44776</v>
      </c>
      <c r="D731" t="s">
        <v>14</v>
      </c>
      <c r="E731" t="s">
        <v>11</v>
      </c>
      <c r="F731">
        <v>20</v>
      </c>
      <c r="G731">
        <v>1</v>
      </c>
      <c r="H731">
        <v>20</v>
      </c>
      <c r="I731" t="s">
        <v>19</v>
      </c>
      <c r="J731" t="s">
        <v>12</v>
      </c>
      <c r="K731" t="s">
        <v>26</v>
      </c>
      <c r="L731">
        <f t="shared" si="33"/>
        <v>2022</v>
      </c>
      <c r="M731" s="13">
        <f t="shared" si="34"/>
        <v>44774</v>
      </c>
      <c r="N731" t="str">
        <f t="shared" si="35"/>
        <v>Online</v>
      </c>
      <c r="O731" t="str">
        <f>IF(Tabla22[[#This Row],[quantity]]&gt;=umbral_grande, "Grande", IF(Tabla22[[#This Row],[quantity]]&gt;=umbral_mediano,"Mediano", "Pequeño"))</f>
        <v>Pequeño</v>
      </c>
    </row>
    <row r="732" spans="2:15" x14ac:dyDescent="0.25">
      <c r="B732">
        <v>729</v>
      </c>
      <c r="C732" s="1">
        <v>44889</v>
      </c>
      <c r="D732" t="s">
        <v>25</v>
      </c>
      <c r="E732" t="s">
        <v>11</v>
      </c>
      <c r="F732">
        <v>60</v>
      </c>
      <c r="G732">
        <v>7</v>
      </c>
      <c r="H732">
        <v>420</v>
      </c>
      <c r="I732" t="s">
        <v>15</v>
      </c>
      <c r="J732" t="s">
        <v>12</v>
      </c>
      <c r="K732" t="s">
        <v>13</v>
      </c>
      <c r="L732">
        <f t="shared" si="33"/>
        <v>2022</v>
      </c>
      <c r="M732" s="13">
        <f t="shared" si="34"/>
        <v>44866</v>
      </c>
      <c r="N732" t="str">
        <f t="shared" si="35"/>
        <v>Cash</v>
      </c>
      <c r="O732" t="str">
        <f>IF(Tabla22[[#This Row],[quantity]]&gt;=umbral_grande, "Grande", IF(Tabla22[[#This Row],[quantity]]&gt;=umbral_mediano,"Mediano", "Pequeño"))</f>
        <v>Mediano</v>
      </c>
    </row>
    <row r="733" spans="2:15" x14ac:dyDescent="0.25">
      <c r="B733">
        <v>730</v>
      </c>
      <c r="C733" s="1">
        <v>44740</v>
      </c>
      <c r="D733" t="s">
        <v>24</v>
      </c>
      <c r="E733" t="s">
        <v>11</v>
      </c>
      <c r="F733">
        <v>50</v>
      </c>
      <c r="G733">
        <v>13</v>
      </c>
      <c r="H733">
        <v>650</v>
      </c>
      <c r="I733" t="s">
        <v>15</v>
      </c>
      <c r="J733" t="s">
        <v>22</v>
      </c>
      <c r="K733" t="s">
        <v>16</v>
      </c>
      <c r="L733">
        <f t="shared" si="33"/>
        <v>2022</v>
      </c>
      <c r="M733" s="13">
        <f t="shared" si="34"/>
        <v>44713</v>
      </c>
      <c r="N733" t="str">
        <f t="shared" si="35"/>
        <v>Cash</v>
      </c>
      <c r="O733" t="str">
        <f>IF(Tabla22[[#This Row],[quantity]]&gt;=umbral_grande, "Grande", IF(Tabla22[[#This Row],[quantity]]&gt;=umbral_mediano,"Mediano", "Pequeño"))</f>
        <v>Grande</v>
      </c>
    </row>
    <row r="734" spans="2:15" x14ac:dyDescent="0.25">
      <c r="B734">
        <v>731</v>
      </c>
      <c r="C734" s="1">
        <v>44994</v>
      </c>
      <c r="D734" t="s">
        <v>24</v>
      </c>
      <c r="E734" t="s">
        <v>11</v>
      </c>
      <c r="F734">
        <v>50</v>
      </c>
      <c r="G734">
        <v>10</v>
      </c>
      <c r="H734">
        <v>500</v>
      </c>
      <c r="I734" t="s">
        <v>15</v>
      </c>
      <c r="J734" t="s">
        <v>22</v>
      </c>
      <c r="K734" t="s">
        <v>16</v>
      </c>
      <c r="L734">
        <f t="shared" si="33"/>
        <v>2023</v>
      </c>
      <c r="M734" s="13">
        <f t="shared" si="34"/>
        <v>44986</v>
      </c>
      <c r="N734" t="str">
        <f t="shared" si="35"/>
        <v>Cash</v>
      </c>
      <c r="O734" t="str">
        <f>IF(Tabla22[[#This Row],[quantity]]&gt;=umbral_grande, "Grande", IF(Tabla22[[#This Row],[quantity]]&gt;=umbral_mediano,"Mediano", "Pequeño"))</f>
        <v>Mediano</v>
      </c>
    </row>
    <row r="735" spans="2:15" x14ac:dyDescent="0.25">
      <c r="B735">
        <v>732</v>
      </c>
      <c r="C735" s="1">
        <v>44725</v>
      </c>
      <c r="D735" t="s">
        <v>21</v>
      </c>
      <c r="E735" t="s">
        <v>11</v>
      </c>
      <c r="F735">
        <v>20</v>
      </c>
      <c r="G735">
        <v>7</v>
      </c>
      <c r="H735">
        <v>140</v>
      </c>
      <c r="J735" t="s">
        <v>22</v>
      </c>
      <c r="K735" t="s">
        <v>26</v>
      </c>
      <c r="L735">
        <f t="shared" si="33"/>
        <v>2022</v>
      </c>
      <c r="M735" s="13">
        <f t="shared" si="34"/>
        <v>44713</v>
      </c>
      <c r="N735" t="str">
        <f t="shared" si="35"/>
        <v>Sin registrar</v>
      </c>
      <c r="O735" t="str">
        <f>IF(Tabla22[[#This Row],[quantity]]&gt;=umbral_grande, "Grande", IF(Tabla22[[#This Row],[quantity]]&gt;=umbral_mediano,"Mediano", "Pequeño"))</f>
        <v>Mediano</v>
      </c>
    </row>
    <row r="736" spans="2:15" x14ac:dyDescent="0.25">
      <c r="B736">
        <v>733</v>
      </c>
      <c r="C736" s="1">
        <v>44960</v>
      </c>
      <c r="D736" t="s">
        <v>24</v>
      </c>
      <c r="E736" t="s">
        <v>11</v>
      </c>
      <c r="F736">
        <v>50</v>
      </c>
      <c r="G736">
        <v>10</v>
      </c>
      <c r="H736">
        <v>500</v>
      </c>
      <c r="I736" t="s">
        <v>15</v>
      </c>
      <c r="J736" t="s">
        <v>12</v>
      </c>
      <c r="K736" t="s">
        <v>20</v>
      </c>
      <c r="L736">
        <f t="shared" si="33"/>
        <v>2023</v>
      </c>
      <c r="M736" s="13">
        <f t="shared" si="34"/>
        <v>44958</v>
      </c>
      <c r="N736" t="str">
        <f t="shared" si="35"/>
        <v>Cash</v>
      </c>
      <c r="O736" t="str">
        <f>IF(Tabla22[[#This Row],[quantity]]&gt;=umbral_grande, "Grande", IF(Tabla22[[#This Row],[quantity]]&gt;=umbral_mediano,"Mediano", "Pequeño"))</f>
        <v>Mediano</v>
      </c>
    </row>
    <row r="737" spans="2:15" x14ac:dyDescent="0.25">
      <c r="B737">
        <v>734</v>
      </c>
      <c r="C737" s="1">
        <v>44841</v>
      </c>
      <c r="D737" t="s">
        <v>24</v>
      </c>
      <c r="E737" t="s">
        <v>11</v>
      </c>
      <c r="F737">
        <v>50</v>
      </c>
      <c r="G737">
        <v>7</v>
      </c>
      <c r="H737">
        <v>350</v>
      </c>
      <c r="I737" t="s">
        <v>15</v>
      </c>
      <c r="J737" t="s">
        <v>12</v>
      </c>
      <c r="K737" t="s">
        <v>20</v>
      </c>
      <c r="L737">
        <f t="shared" si="33"/>
        <v>2022</v>
      </c>
      <c r="M737" s="13">
        <f t="shared" si="34"/>
        <v>44835</v>
      </c>
      <c r="N737" t="str">
        <f t="shared" si="35"/>
        <v>Cash</v>
      </c>
      <c r="O737" t="str">
        <f>IF(Tabla22[[#This Row],[quantity]]&gt;=umbral_grande, "Grande", IF(Tabla22[[#This Row],[quantity]]&gt;=umbral_mediano,"Mediano", "Pequeño"))</f>
        <v>Mediano</v>
      </c>
    </row>
    <row r="738" spans="2:15" x14ac:dyDescent="0.25">
      <c r="B738">
        <v>735</v>
      </c>
      <c r="C738" s="1">
        <v>44783</v>
      </c>
      <c r="D738" t="s">
        <v>21</v>
      </c>
      <c r="E738" t="s">
        <v>11</v>
      </c>
      <c r="F738">
        <v>20</v>
      </c>
      <c r="G738">
        <v>11</v>
      </c>
      <c r="H738">
        <v>220</v>
      </c>
      <c r="I738" t="s">
        <v>15</v>
      </c>
      <c r="J738" t="s">
        <v>12</v>
      </c>
      <c r="K738" t="s">
        <v>23</v>
      </c>
      <c r="L738">
        <f t="shared" si="33"/>
        <v>2022</v>
      </c>
      <c r="M738" s="13">
        <f t="shared" si="34"/>
        <v>44774</v>
      </c>
      <c r="N738" t="str">
        <f t="shared" si="35"/>
        <v>Cash</v>
      </c>
      <c r="O738" t="str">
        <f>IF(Tabla22[[#This Row],[quantity]]&gt;=umbral_grande, "Grande", IF(Tabla22[[#This Row],[quantity]]&gt;=umbral_mediano,"Mediano", "Pequeño"))</f>
        <v>Grande</v>
      </c>
    </row>
    <row r="739" spans="2:15" x14ac:dyDescent="0.25">
      <c r="B739">
        <v>736</v>
      </c>
      <c r="C739" s="1">
        <v>44829</v>
      </c>
      <c r="D739" t="s">
        <v>21</v>
      </c>
      <c r="E739" t="s">
        <v>11</v>
      </c>
      <c r="F739">
        <v>20</v>
      </c>
      <c r="G739">
        <v>13</v>
      </c>
      <c r="H739">
        <v>260</v>
      </c>
      <c r="J739" t="s">
        <v>12</v>
      </c>
      <c r="K739" t="s">
        <v>16</v>
      </c>
      <c r="L739">
        <f t="shared" si="33"/>
        <v>2022</v>
      </c>
      <c r="M739" s="13">
        <f t="shared" si="34"/>
        <v>44805</v>
      </c>
      <c r="N739" t="str">
        <f t="shared" si="35"/>
        <v>Sin registrar</v>
      </c>
      <c r="O739" t="str">
        <f>IF(Tabla22[[#This Row],[quantity]]&gt;=umbral_grande, "Grande", IF(Tabla22[[#This Row],[quantity]]&gt;=umbral_mediano,"Mediano", "Pequeño"))</f>
        <v>Grande</v>
      </c>
    </row>
    <row r="740" spans="2:15" x14ac:dyDescent="0.25">
      <c r="B740">
        <v>737</v>
      </c>
      <c r="C740" s="1">
        <v>44824</v>
      </c>
      <c r="D740" t="s">
        <v>24</v>
      </c>
      <c r="E740" t="s">
        <v>11</v>
      </c>
      <c r="F740">
        <v>50</v>
      </c>
      <c r="G740">
        <v>13</v>
      </c>
      <c r="H740">
        <v>650</v>
      </c>
      <c r="I740" t="s">
        <v>19</v>
      </c>
      <c r="J740" t="s">
        <v>22</v>
      </c>
      <c r="K740" t="s">
        <v>13</v>
      </c>
      <c r="L740">
        <f t="shared" si="33"/>
        <v>2022</v>
      </c>
      <c r="M740" s="13">
        <f t="shared" si="34"/>
        <v>44805</v>
      </c>
      <c r="N740" t="str">
        <f t="shared" si="35"/>
        <v>Online</v>
      </c>
      <c r="O740" t="str">
        <f>IF(Tabla22[[#This Row],[quantity]]&gt;=umbral_grande, "Grande", IF(Tabla22[[#This Row],[quantity]]&gt;=umbral_mediano,"Mediano", "Pequeño"))</f>
        <v>Grande</v>
      </c>
    </row>
    <row r="741" spans="2:15" x14ac:dyDescent="0.25">
      <c r="B741">
        <v>738</v>
      </c>
      <c r="C741" s="1">
        <v>44986</v>
      </c>
      <c r="D741" t="s">
        <v>25</v>
      </c>
      <c r="E741" t="s">
        <v>11</v>
      </c>
      <c r="F741">
        <v>60</v>
      </c>
      <c r="G741">
        <v>4</v>
      </c>
      <c r="H741">
        <v>240</v>
      </c>
      <c r="I741" t="s">
        <v>19</v>
      </c>
      <c r="J741" t="s">
        <v>22</v>
      </c>
      <c r="K741" t="s">
        <v>23</v>
      </c>
      <c r="L741">
        <f t="shared" si="33"/>
        <v>2023</v>
      </c>
      <c r="M741" s="13">
        <f t="shared" si="34"/>
        <v>44986</v>
      </c>
      <c r="N741" t="str">
        <f t="shared" si="35"/>
        <v>Online</v>
      </c>
      <c r="O741" t="str">
        <f>IF(Tabla22[[#This Row],[quantity]]&gt;=umbral_grande, "Grande", IF(Tabla22[[#This Row],[quantity]]&gt;=umbral_mediano,"Mediano", "Pequeño"))</f>
        <v>Pequeño</v>
      </c>
    </row>
    <row r="742" spans="2:15" x14ac:dyDescent="0.25">
      <c r="B742">
        <v>739</v>
      </c>
      <c r="C742" s="1">
        <v>44718</v>
      </c>
      <c r="D742" t="s">
        <v>10</v>
      </c>
      <c r="E742" t="s">
        <v>11</v>
      </c>
      <c r="F742">
        <v>20</v>
      </c>
      <c r="G742">
        <v>11</v>
      </c>
      <c r="H742">
        <v>220</v>
      </c>
      <c r="I742" t="s">
        <v>19</v>
      </c>
      <c r="J742" t="s">
        <v>12</v>
      </c>
      <c r="K742" t="s">
        <v>13</v>
      </c>
      <c r="L742">
        <f t="shared" si="33"/>
        <v>2022</v>
      </c>
      <c r="M742" s="13">
        <f t="shared" si="34"/>
        <v>44713</v>
      </c>
      <c r="N742" t="str">
        <f t="shared" si="35"/>
        <v>Online</v>
      </c>
      <c r="O742" t="str">
        <f>IF(Tabla22[[#This Row],[quantity]]&gt;=umbral_grande, "Grande", IF(Tabla22[[#This Row],[quantity]]&gt;=umbral_mediano,"Mediano", "Pequeño"))</f>
        <v>Grande</v>
      </c>
    </row>
    <row r="743" spans="2:15" x14ac:dyDescent="0.25">
      <c r="B743">
        <v>740</v>
      </c>
      <c r="C743" s="1">
        <v>44772</v>
      </c>
      <c r="D743" t="s">
        <v>10</v>
      </c>
      <c r="E743" t="s">
        <v>11</v>
      </c>
      <c r="F743">
        <v>20</v>
      </c>
      <c r="G743">
        <v>9</v>
      </c>
      <c r="H743">
        <v>180</v>
      </c>
      <c r="I743" t="s">
        <v>15</v>
      </c>
      <c r="J743" t="s">
        <v>12</v>
      </c>
      <c r="K743" t="s">
        <v>26</v>
      </c>
      <c r="L743">
        <f t="shared" si="33"/>
        <v>2022</v>
      </c>
      <c r="M743" s="13">
        <f t="shared" si="34"/>
        <v>44743</v>
      </c>
      <c r="N743" t="str">
        <f t="shared" si="35"/>
        <v>Cash</v>
      </c>
      <c r="O743" t="str">
        <f>IF(Tabla22[[#This Row],[quantity]]&gt;=umbral_grande, "Grande", IF(Tabla22[[#This Row],[quantity]]&gt;=umbral_mediano,"Mediano", "Pequeño"))</f>
        <v>Mediano</v>
      </c>
    </row>
    <row r="744" spans="2:15" x14ac:dyDescent="0.25">
      <c r="B744">
        <v>741</v>
      </c>
      <c r="C744" s="1">
        <v>44758</v>
      </c>
      <c r="D744" t="s">
        <v>10</v>
      </c>
      <c r="E744" t="s">
        <v>11</v>
      </c>
      <c r="F744">
        <v>20</v>
      </c>
      <c r="G744">
        <v>5</v>
      </c>
      <c r="H744">
        <v>100</v>
      </c>
      <c r="I744" t="s">
        <v>19</v>
      </c>
      <c r="J744" t="s">
        <v>12</v>
      </c>
      <c r="K744" t="s">
        <v>16</v>
      </c>
      <c r="L744">
        <f t="shared" si="33"/>
        <v>2022</v>
      </c>
      <c r="M744" s="13">
        <f t="shared" si="34"/>
        <v>44743</v>
      </c>
      <c r="N744" t="str">
        <f t="shared" si="35"/>
        <v>Online</v>
      </c>
      <c r="O744" t="str">
        <f>IF(Tabla22[[#This Row],[quantity]]&gt;=umbral_grande, "Grande", IF(Tabla22[[#This Row],[quantity]]&gt;=umbral_mediano,"Mediano", "Pequeño"))</f>
        <v>Pequeño</v>
      </c>
    </row>
    <row r="745" spans="2:15" x14ac:dyDescent="0.25">
      <c r="B745">
        <v>742</v>
      </c>
      <c r="C745" s="1">
        <v>44883</v>
      </c>
      <c r="D745" t="s">
        <v>21</v>
      </c>
      <c r="E745" t="s">
        <v>11</v>
      </c>
      <c r="F745">
        <v>20</v>
      </c>
      <c r="G745">
        <v>14</v>
      </c>
      <c r="H745">
        <v>280</v>
      </c>
      <c r="I745" t="s">
        <v>19</v>
      </c>
      <c r="J745" t="s">
        <v>12</v>
      </c>
      <c r="K745" t="s">
        <v>13</v>
      </c>
      <c r="L745">
        <f t="shared" si="33"/>
        <v>2022</v>
      </c>
      <c r="M745" s="13">
        <f t="shared" si="34"/>
        <v>44866</v>
      </c>
      <c r="N745" t="str">
        <f t="shared" si="35"/>
        <v>Online</v>
      </c>
      <c r="O745" t="str">
        <f>IF(Tabla22[[#This Row],[quantity]]&gt;=umbral_grande, "Grande", IF(Tabla22[[#This Row],[quantity]]&gt;=umbral_mediano,"Mediano", "Pequeño"))</f>
        <v>Grande</v>
      </c>
    </row>
    <row r="746" spans="2:15" x14ac:dyDescent="0.25">
      <c r="B746">
        <v>743</v>
      </c>
      <c r="C746" s="1">
        <v>44874</v>
      </c>
      <c r="D746" t="s">
        <v>21</v>
      </c>
      <c r="E746" t="s">
        <v>11</v>
      </c>
      <c r="F746">
        <v>20</v>
      </c>
      <c r="G746">
        <v>1</v>
      </c>
      <c r="H746">
        <v>20</v>
      </c>
      <c r="I746" t="s">
        <v>15</v>
      </c>
      <c r="J746" t="s">
        <v>12</v>
      </c>
      <c r="K746" t="s">
        <v>23</v>
      </c>
      <c r="L746">
        <f t="shared" si="33"/>
        <v>2022</v>
      </c>
      <c r="M746" s="13">
        <f t="shared" si="34"/>
        <v>44866</v>
      </c>
      <c r="N746" t="str">
        <f t="shared" si="35"/>
        <v>Cash</v>
      </c>
      <c r="O746" t="str">
        <f>IF(Tabla22[[#This Row],[quantity]]&gt;=umbral_grande, "Grande", IF(Tabla22[[#This Row],[quantity]]&gt;=umbral_mediano,"Mediano", "Pequeño"))</f>
        <v>Pequeño</v>
      </c>
    </row>
    <row r="747" spans="2:15" x14ac:dyDescent="0.25">
      <c r="B747">
        <v>744</v>
      </c>
      <c r="C747" s="1">
        <v>44737</v>
      </c>
      <c r="D747" t="s">
        <v>24</v>
      </c>
      <c r="E747" t="s">
        <v>11</v>
      </c>
      <c r="F747">
        <v>50</v>
      </c>
      <c r="G747">
        <v>10</v>
      </c>
      <c r="H747">
        <v>500</v>
      </c>
      <c r="I747" t="s">
        <v>15</v>
      </c>
      <c r="J747" t="s">
        <v>22</v>
      </c>
      <c r="K747" t="s">
        <v>23</v>
      </c>
      <c r="L747">
        <f t="shared" si="33"/>
        <v>2022</v>
      </c>
      <c r="M747" s="13">
        <f t="shared" si="34"/>
        <v>44713</v>
      </c>
      <c r="N747" t="str">
        <f t="shared" si="35"/>
        <v>Cash</v>
      </c>
      <c r="O747" t="str">
        <f>IF(Tabla22[[#This Row],[quantity]]&gt;=umbral_grande, "Grande", IF(Tabla22[[#This Row],[quantity]]&gt;=umbral_mediano,"Mediano", "Pequeño"))</f>
        <v>Mediano</v>
      </c>
    </row>
    <row r="748" spans="2:15" x14ac:dyDescent="0.25">
      <c r="B748">
        <v>745</v>
      </c>
      <c r="C748" s="1">
        <v>44815</v>
      </c>
      <c r="D748" t="s">
        <v>10</v>
      </c>
      <c r="E748" t="s">
        <v>11</v>
      </c>
      <c r="F748">
        <v>20</v>
      </c>
      <c r="G748">
        <v>2</v>
      </c>
      <c r="H748">
        <v>40</v>
      </c>
      <c r="I748" t="s">
        <v>19</v>
      </c>
      <c r="J748" t="s">
        <v>12</v>
      </c>
      <c r="K748" t="s">
        <v>20</v>
      </c>
      <c r="L748">
        <f t="shared" si="33"/>
        <v>2022</v>
      </c>
      <c r="M748" s="13">
        <f t="shared" si="34"/>
        <v>44805</v>
      </c>
      <c r="N748" t="str">
        <f t="shared" si="35"/>
        <v>Online</v>
      </c>
      <c r="O748" t="str">
        <f>IF(Tabla22[[#This Row],[quantity]]&gt;=umbral_grande, "Grande", IF(Tabla22[[#This Row],[quantity]]&gt;=umbral_mediano,"Mediano", "Pequeño"))</f>
        <v>Pequeño</v>
      </c>
    </row>
    <row r="749" spans="2:15" x14ac:dyDescent="0.25">
      <c r="B749">
        <v>746</v>
      </c>
      <c r="C749" s="1">
        <v>44778</v>
      </c>
      <c r="D749" t="s">
        <v>17</v>
      </c>
      <c r="E749" t="s">
        <v>18</v>
      </c>
      <c r="F749">
        <v>25</v>
      </c>
      <c r="G749">
        <v>5</v>
      </c>
      <c r="H749">
        <v>125</v>
      </c>
      <c r="I749" t="s">
        <v>19</v>
      </c>
      <c r="J749" t="s">
        <v>22</v>
      </c>
      <c r="K749" t="s">
        <v>26</v>
      </c>
      <c r="L749">
        <f t="shared" si="33"/>
        <v>2022</v>
      </c>
      <c r="M749" s="13">
        <f t="shared" si="34"/>
        <v>44774</v>
      </c>
      <c r="N749" t="str">
        <f t="shared" si="35"/>
        <v>Online</v>
      </c>
      <c r="O749" t="str">
        <f>IF(Tabla22[[#This Row],[quantity]]&gt;=umbral_grande, "Grande", IF(Tabla22[[#This Row],[quantity]]&gt;=umbral_mediano,"Mediano", "Pequeño"))</f>
        <v>Pequeño</v>
      </c>
    </row>
    <row r="750" spans="2:15" x14ac:dyDescent="0.25">
      <c r="B750">
        <v>747</v>
      </c>
      <c r="C750" s="1">
        <v>44940</v>
      </c>
      <c r="D750" t="s">
        <v>27</v>
      </c>
      <c r="E750" t="s">
        <v>18</v>
      </c>
      <c r="F750">
        <v>40</v>
      </c>
      <c r="G750">
        <v>3</v>
      </c>
      <c r="H750">
        <v>120</v>
      </c>
      <c r="I750" t="s">
        <v>15</v>
      </c>
      <c r="J750" t="s">
        <v>22</v>
      </c>
      <c r="K750" t="s">
        <v>26</v>
      </c>
      <c r="L750">
        <f t="shared" si="33"/>
        <v>2023</v>
      </c>
      <c r="M750" s="13">
        <f t="shared" si="34"/>
        <v>44927</v>
      </c>
      <c r="N750" t="str">
        <f t="shared" si="35"/>
        <v>Cash</v>
      </c>
      <c r="O750" t="str">
        <f>IF(Tabla22[[#This Row],[quantity]]&gt;=umbral_grande, "Grande", IF(Tabla22[[#This Row],[quantity]]&gt;=umbral_mediano,"Mediano", "Pequeño"))</f>
        <v>Pequeño</v>
      </c>
    </row>
    <row r="751" spans="2:15" x14ac:dyDescent="0.25">
      <c r="B751">
        <v>748</v>
      </c>
      <c r="C751" s="1">
        <v>44824</v>
      </c>
      <c r="D751" t="s">
        <v>25</v>
      </c>
      <c r="E751" t="s">
        <v>11</v>
      </c>
      <c r="F751">
        <v>60</v>
      </c>
      <c r="G751">
        <v>14</v>
      </c>
      <c r="H751">
        <v>840</v>
      </c>
      <c r="I751" t="s">
        <v>15</v>
      </c>
      <c r="J751" t="s">
        <v>22</v>
      </c>
      <c r="K751" t="s">
        <v>13</v>
      </c>
      <c r="L751">
        <f t="shared" si="33"/>
        <v>2022</v>
      </c>
      <c r="M751" s="13">
        <f t="shared" si="34"/>
        <v>44805</v>
      </c>
      <c r="N751" t="str">
        <f t="shared" si="35"/>
        <v>Cash</v>
      </c>
      <c r="O751" t="str">
        <f>IF(Tabla22[[#This Row],[quantity]]&gt;=umbral_grande, "Grande", IF(Tabla22[[#This Row],[quantity]]&gt;=umbral_mediano,"Mediano", "Pequeño"))</f>
        <v>Grande</v>
      </c>
    </row>
    <row r="752" spans="2:15" x14ac:dyDescent="0.25">
      <c r="B752">
        <v>749</v>
      </c>
      <c r="C752" s="1">
        <v>44804</v>
      </c>
      <c r="D752" t="s">
        <v>14</v>
      </c>
      <c r="E752" t="s">
        <v>11</v>
      </c>
      <c r="F752">
        <v>20</v>
      </c>
      <c r="G752">
        <v>11</v>
      </c>
      <c r="H752">
        <v>220</v>
      </c>
      <c r="I752" t="s">
        <v>15</v>
      </c>
      <c r="J752" t="s">
        <v>12</v>
      </c>
      <c r="K752" t="s">
        <v>23</v>
      </c>
      <c r="L752">
        <f t="shared" si="33"/>
        <v>2022</v>
      </c>
      <c r="M752" s="13">
        <f t="shared" si="34"/>
        <v>44774</v>
      </c>
      <c r="N752" t="str">
        <f t="shared" si="35"/>
        <v>Cash</v>
      </c>
      <c r="O752" t="str">
        <f>IF(Tabla22[[#This Row],[quantity]]&gt;=umbral_grande, "Grande", IF(Tabla22[[#This Row],[quantity]]&gt;=umbral_mediano,"Mediano", "Pequeño"))</f>
        <v>Grande</v>
      </c>
    </row>
    <row r="753" spans="2:15" x14ac:dyDescent="0.25">
      <c r="B753">
        <v>750</v>
      </c>
      <c r="C753" s="1">
        <v>44958</v>
      </c>
      <c r="D753" t="s">
        <v>24</v>
      </c>
      <c r="E753" t="s">
        <v>11</v>
      </c>
      <c r="F753">
        <v>50</v>
      </c>
      <c r="G753">
        <v>1</v>
      </c>
      <c r="H753">
        <v>50</v>
      </c>
      <c r="I753" t="s">
        <v>19</v>
      </c>
      <c r="J753" t="s">
        <v>12</v>
      </c>
      <c r="K753" t="s">
        <v>20</v>
      </c>
      <c r="L753">
        <f t="shared" si="33"/>
        <v>2023</v>
      </c>
      <c r="M753" s="13">
        <f t="shared" si="34"/>
        <v>44958</v>
      </c>
      <c r="N753" t="str">
        <f t="shared" si="35"/>
        <v>Online</v>
      </c>
      <c r="O753" t="str">
        <f>IF(Tabla22[[#This Row],[quantity]]&gt;=umbral_grande, "Grande", IF(Tabla22[[#This Row],[quantity]]&gt;=umbral_mediano,"Mediano", "Pequeño"))</f>
        <v>Pequeño</v>
      </c>
    </row>
    <row r="754" spans="2:15" x14ac:dyDescent="0.25">
      <c r="B754">
        <v>751</v>
      </c>
      <c r="C754" s="1">
        <v>44820</v>
      </c>
      <c r="D754" t="s">
        <v>14</v>
      </c>
      <c r="E754" t="s">
        <v>11</v>
      </c>
      <c r="F754">
        <v>20</v>
      </c>
      <c r="G754">
        <v>2</v>
      </c>
      <c r="H754">
        <v>40</v>
      </c>
      <c r="I754" t="s">
        <v>15</v>
      </c>
      <c r="J754" t="s">
        <v>12</v>
      </c>
      <c r="K754" t="s">
        <v>16</v>
      </c>
      <c r="L754">
        <f t="shared" si="33"/>
        <v>2022</v>
      </c>
      <c r="M754" s="13">
        <f t="shared" si="34"/>
        <v>44805</v>
      </c>
      <c r="N754" t="str">
        <f t="shared" si="35"/>
        <v>Cash</v>
      </c>
      <c r="O754" t="str">
        <f>IF(Tabla22[[#This Row],[quantity]]&gt;=umbral_grande, "Grande", IF(Tabla22[[#This Row],[quantity]]&gt;=umbral_mediano,"Mediano", "Pequeño"))</f>
        <v>Pequeño</v>
      </c>
    </row>
    <row r="755" spans="2:15" x14ac:dyDescent="0.25">
      <c r="B755">
        <v>752</v>
      </c>
      <c r="C755" s="1">
        <v>44716</v>
      </c>
      <c r="D755" t="s">
        <v>21</v>
      </c>
      <c r="E755" t="s">
        <v>11</v>
      </c>
      <c r="F755">
        <v>20</v>
      </c>
      <c r="G755">
        <v>2</v>
      </c>
      <c r="H755">
        <v>40</v>
      </c>
      <c r="I755" t="s">
        <v>19</v>
      </c>
      <c r="J755" t="s">
        <v>22</v>
      </c>
      <c r="K755" t="s">
        <v>23</v>
      </c>
      <c r="L755">
        <f t="shared" si="33"/>
        <v>2022</v>
      </c>
      <c r="M755" s="13">
        <f t="shared" si="34"/>
        <v>44713</v>
      </c>
      <c r="N755" t="str">
        <f t="shared" si="35"/>
        <v>Online</v>
      </c>
      <c r="O755" t="str">
        <f>IF(Tabla22[[#This Row],[quantity]]&gt;=umbral_grande, "Grande", IF(Tabla22[[#This Row],[quantity]]&gt;=umbral_mediano,"Mediano", "Pequeño"))</f>
        <v>Pequeño</v>
      </c>
    </row>
    <row r="756" spans="2:15" x14ac:dyDescent="0.25">
      <c r="B756">
        <v>753</v>
      </c>
      <c r="C756" s="1">
        <v>44738</v>
      </c>
      <c r="D756" t="s">
        <v>17</v>
      </c>
      <c r="E756" t="s">
        <v>18</v>
      </c>
      <c r="F756">
        <v>25</v>
      </c>
      <c r="G756">
        <v>1</v>
      </c>
      <c r="H756">
        <v>25</v>
      </c>
      <c r="I756" t="s">
        <v>15</v>
      </c>
      <c r="J756" t="s">
        <v>12</v>
      </c>
      <c r="K756" t="s">
        <v>26</v>
      </c>
      <c r="L756">
        <f t="shared" si="33"/>
        <v>2022</v>
      </c>
      <c r="M756" s="13">
        <f t="shared" si="34"/>
        <v>44713</v>
      </c>
      <c r="N756" t="str">
        <f t="shared" si="35"/>
        <v>Cash</v>
      </c>
      <c r="O756" t="str">
        <f>IF(Tabla22[[#This Row],[quantity]]&gt;=umbral_grande, "Grande", IF(Tabla22[[#This Row],[quantity]]&gt;=umbral_mediano,"Mediano", "Pequeño"))</f>
        <v>Pequeño</v>
      </c>
    </row>
    <row r="757" spans="2:15" x14ac:dyDescent="0.25">
      <c r="B757">
        <v>754</v>
      </c>
      <c r="C757" s="1">
        <v>44924</v>
      </c>
      <c r="D757" t="s">
        <v>17</v>
      </c>
      <c r="E757" t="s">
        <v>18</v>
      </c>
      <c r="F757">
        <v>25</v>
      </c>
      <c r="G757">
        <v>14</v>
      </c>
      <c r="H757">
        <v>350</v>
      </c>
      <c r="I757" t="s">
        <v>15</v>
      </c>
      <c r="J757" t="s">
        <v>22</v>
      </c>
      <c r="K757" t="s">
        <v>20</v>
      </c>
      <c r="L757">
        <f t="shared" si="33"/>
        <v>2022</v>
      </c>
      <c r="M757" s="13">
        <f t="shared" si="34"/>
        <v>44896</v>
      </c>
      <c r="N757" t="str">
        <f t="shared" si="35"/>
        <v>Cash</v>
      </c>
      <c r="O757" t="str">
        <f>IF(Tabla22[[#This Row],[quantity]]&gt;=umbral_grande, "Grande", IF(Tabla22[[#This Row],[quantity]]&gt;=umbral_mediano,"Mediano", "Pequeño"))</f>
        <v>Grande</v>
      </c>
    </row>
    <row r="758" spans="2:15" x14ac:dyDescent="0.25">
      <c r="B758">
        <v>755</v>
      </c>
      <c r="C758" s="1">
        <v>44928</v>
      </c>
      <c r="D758" t="s">
        <v>10</v>
      </c>
      <c r="E758" t="s">
        <v>11</v>
      </c>
      <c r="F758">
        <v>20</v>
      </c>
      <c r="G758">
        <v>12</v>
      </c>
      <c r="H758">
        <v>240</v>
      </c>
      <c r="I758" t="s">
        <v>15</v>
      </c>
      <c r="J758" t="s">
        <v>22</v>
      </c>
      <c r="K758" t="s">
        <v>13</v>
      </c>
      <c r="L758">
        <f t="shared" si="33"/>
        <v>2023</v>
      </c>
      <c r="M758" s="13">
        <f t="shared" si="34"/>
        <v>44927</v>
      </c>
      <c r="N758" t="str">
        <f t="shared" si="35"/>
        <v>Cash</v>
      </c>
      <c r="O758" t="str">
        <f>IF(Tabla22[[#This Row],[quantity]]&gt;=umbral_grande, "Grande", IF(Tabla22[[#This Row],[quantity]]&gt;=umbral_mediano,"Mediano", "Pequeño"))</f>
        <v>Grande</v>
      </c>
    </row>
    <row r="759" spans="2:15" x14ac:dyDescent="0.25">
      <c r="B759">
        <v>756</v>
      </c>
      <c r="C759" s="1">
        <v>44855</v>
      </c>
      <c r="D759" t="s">
        <v>17</v>
      </c>
      <c r="E759" t="s">
        <v>18</v>
      </c>
      <c r="F759">
        <v>25</v>
      </c>
      <c r="G759">
        <v>10</v>
      </c>
      <c r="H759">
        <v>250</v>
      </c>
      <c r="I759" t="s">
        <v>19</v>
      </c>
      <c r="J759" t="s">
        <v>22</v>
      </c>
      <c r="K759" t="s">
        <v>23</v>
      </c>
      <c r="L759">
        <f t="shared" si="33"/>
        <v>2022</v>
      </c>
      <c r="M759" s="13">
        <f t="shared" si="34"/>
        <v>44835</v>
      </c>
      <c r="N759" t="str">
        <f t="shared" si="35"/>
        <v>Online</v>
      </c>
      <c r="O759" t="str">
        <f>IF(Tabla22[[#This Row],[quantity]]&gt;=umbral_grande, "Grande", IF(Tabla22[[#This Row],[quantity]]&gt;=umbral_mediano,"Mediano", "Pequeño"))</f>
        <v>Mediano</v>
      </c>
    </row>
    <row r="760" spans="2:15" x14ac:dyDescent="0.25">
      <c r="B760">
        <v>757</v>
      </c>
      <c r="C760" s="1">
        <v>44920</v>
      </c>
      <c r="D760" t="s">
        <v>17</v>
      </c>
      <c r="E760" t="s">
        <v>18</v>
      </c>
      <c r="F760">
        <v>25</v>
      </c>
      <c r="G760">
        <v>11</v>
      </c>
      <c r="H760">
        <v>275</v>
      </c>
      <c r="I760" t="s">
        <v>19</v>
      </c>
      <c r="J760" t="s">
        <v>12</v>
      </c>
      <c r="K760" t="s">
        <v>23</v>
      </c>
      <c r="L760">
        <f t="shared" si="33"/>
        <v>2022</v>
      </c>
      <c r="M760" s="13">
        <f t="shared" si="34"/>
        <v>44896</v>
      </c>
      <c r="N760" t="str">
        <f t="shared" si="35"/>
        <v>Online</v>
      </c>
      <c r="O760" t="str">
        <f>IF(Tabla22[[#This Row],[quantity]]&gt;=umbral_grande, "Grande", IF(Tabla22[[#This Row],[quantity]]&gt;=umbral_mediano,"Mediano", "Pequeño"))</f>
        <v>Grande</v>
      </c>
    </row>
    <row r="761" spans="2:15" x14ac:dyDescent="0.25">
      <c r="B761">
        <v>758</v>
      </c>
      <c r="C761" s="1">
        <v>44829</v>
      </c>
      <c r="D761" t="s">
        <v>14</v>
      </c>
      <c r="E761" t="s">
        <v>11</v>
      </c>
      <c r="F761">
        <v>20</v>
      </c>
      <c r="G761">
        <v>3</v>
      </c>
      <c r="H761">
        <v>60</v>
      </c>
      <c r="I761" t="s">
        <v>15</v>
      </c>
      <c r="J761" t="s">
        <v>22</v>
      </c>
      <c r="K761" t="s">
        <v>20</v>
      </c>
      <c r="L761">
        <f t="shared" si="33"/>
        <v>2022</v>
      </c>
      <c r="M761" s="13">
        <f t="shared" si="34"/>
        <v>44805</v>
      </c>
      <c r="N761" t="str">
        <f t="shared" si="35"/>
        <v>Cash</v>
      </c>
      <c r="O761" t="str">
        <f>IF(Tabla22[[#This Row],[quantity]]&gt;=umbral_grande, "Grande", IF(Tabla22[[#This Row],[quantity]]&gt;=umbral_mediano,"Mediano", "Pequeño"))</f>
        <v>Pequeño</v>
      </c>
    </row>
    <row r="762" spans="2:15" x14ac:dyDescent="0.25">
      <c r="B762">
        <v>759</v>
      </c>
      <c r="C762" s="1">
        <v>44920</v>
      </c>
      <c r="D762" t="s">
        <v>17</v>
      </c>
      <c r="E762" t="s">
        <v>18</v>
      </c>
      <c r="F762">
        <v>25</v>
      </c>
      <c r="G762">
        <v>13</v>
      </c>
      <c r="H762">
        <v>325</v>
      </c>
      <c r="I762" t="s">
        <v>19</v>
      </c>
      <c r="J762" t="s">
        <v>12</v>
      </c>
      <c r="K762" t="s">
        <v>26</v>
      </c>
      <c r="L762">
        <f t="shared" si="33"/>
        <v>2022</v>
      </c>
      <c r="M762" s="13">
        <f t="shared" si="34"/>
        <v>44896</v>
      </c>
      <c r="N762" t="str">
        <f t="shared" si="35"/>
        <v>Online</v>
      </c>
      <c r="O762" t="str">
        <f>IF(Tabla22[[#This Row],[quantity]]&gt;=umbral_grande, "Grande", IF(Tabla22[[#This Row],[quantity]]&gt;=umbral_mediano,"Mediano", "Pequeño"))</f>
        <v>Grande</v>
      </c>
    </row>
    <row r="763" spans="2:15" x14ac:dyDescent="0.25">
      <c r="B763">
        <v>760</v>
      </c>
      <c r="C763" s="1">
        <v>44879</v>
      </c>
      <c r="D763" t="s">
        <v>17</v>
      </c>
      <c r="E763" t="s">
        <v>18</v>
      </c>
      <c r="F763">
        <v>25</v>
      </c>
      <c r="G763">
        <v>1</v>
      </c>
      <c r="H763">
        <v>25</v>
      </c>
      <c r="I763" t="s">
        <v>19</v>
      </c>
      <c r="J763" t="s">
        <v>22</v>
      </c>
      <c r="K763" t="s">
        <v>20</v>
      </c>
      <c r="L763">
        <f t="shared" si="33"/>
        <v>2022</v>
      </c>
      <c r="M763" s="13">
        <f t="shared" si="34"/>
        <v>44866</v>
      </c>
      <c r="N763" t="str">
        <f t="shared" si="35"/>
        <v>Online</v>
      </c>
      <c r="O763" t="str">
        <f>IF(Tabla22[[#This Row],[quantity]]&gt;=umbral_grande, "Grande", IF(Tabla22[[#This Row],[quantity]]&gt;=umbral_mediano,"Mediano", "Pequeño"))</f>
        <v>Pequeño</v>
      </c>
    </row>
    <row r="764" spans="2:15" x14ac:dyDescent="0.25">
      <c r="B764">
        <v>761</v>
      </c>
      <c r="C764" s="1">
        <v>44877</v>
      </c>
      <c r="D764" t="s">
        <v>25</v>
      </c>
      <c r="E764" t="s">
        <v>11</v>
      </c>
      <c r="F764">
        <v>60</v>
      </c>
      <c r="G764">
        <v>3</v>
      </c>
      <c r="H764">
        <v>180</v>
      </c>
      <c r="J764" t="s">
        <v>22</v>
      </c>
      <c r="K764" t="s">
        <v>26</v>
      </c>
      <c r="L764">
        <f t="shared" si="33"/>
        <v>2022</v>
      </c>
      <c r="M764" s="13">
        <f t="shared" si="34"/>
        <v>44866</v>
      </c>
      <c r="N764" t="str">
        <f t="shared" si="35"/>
        <v>Sin registrar</v>
      </c>
      <c r="O764" t="str">
        <f>IF(Tabla22[[#This Row],[quantity]]&gt;=umbral_grande, "Grande", IF(Tabla22[[#This Row],[quantity]]&gt;=umbral_mediano,"Mediano", "Pequeño"))</f>
        <v>Pequeño</v>
      </c>
    </row>
    <row r="765" spans="2:15" x14ac:dyDescent="0.25">
      <c r="B765">
        <v>762</v>
      </c>
      <c r="C765" s="1">
        <v>44660</v>
      </c>
      <c r="D765" t="s">
        <v>14</v>
      </c>
      <c r="E765" t="s">
        <v>11</v>
      </c>
      <c r="F765">
        <v>20</v>
      </c>
      <c r="G765">
        <v>12</v>
      </c>
      <c r="H765">
        <v>240</v>
      </c>
      <c r="I765" t="s">
        <v>19</v>
      </c>
      <c r="J765" t="s">
        <v>22</v>
      </c>
      <c r="K765" t="s">
        <v>26</v>
      </c>
      <c r="L765">
        <f t="shared" si="33"/>
        <v>2022</v>
      </c>
      <c r="M765" s="13">
        <f t="shared" si="34"/>
        <v>44652</v>
      </c>
      <c r="N765" t="str">
        <f t="shared" si="35"/>
        <v>Online</v>
      </c>
      <c r="O765" t="str">
        <f>IF(Tabla22[[#This Row],[quantity]]&gt;=umbral_grande, "Grande", IF(Tabla22[[#This Row],[quantity]]&gt;=umbral_mediano,"Mediano", "Pequeño"))</f>
        <v>Grande</v>
      </c>
    </row>
    <row r="766" spans="2:15" x14ac:dyDescent="0.25">
      <c r="B766">
        <v>763</v>
      </c>
      <c r="C766" s="1">
        <v>44746</v>
      </c>
      <c r="D766" t="s">
        <v>14</v>
      </c>
      <c r="E766" t="s">
        <v>11</v>
      </c>
      <c r="F766">
        <v>20</v>
      </c>
      <c r="G766">
        <v>14</v>
      </c>
      <c r="H766">
        <v>280</v>
      </c>
      <c r="J766" t="s">
        <v>22</v>
      </c>
      <c r="K766" t="s">
        <v>13</v>
      </c>
      <c r="L766">
        <f t="shared" si="33"/>
        <v>2022</v>
      </c>
      <c r="M766" s="13">
        <f t="shared" si="34"/>
        <v>44743</v>
      </c>
      <c r="N766" t="str">
        <f t="shared" si="35"/>
        <v>Sin registrar</v>
      </c>
      <c r="O766" t="str">
        <f>IF(Tabla22[[#This Row],[quantity]]&gt;=umbral_grande, "Grande", IF(Tabla22[[#This Row],[quantity]]&gt;=umbral_mediano,"Mediano", "Pequeño"))</f>
        <v>Grande</v>
      </c>
    </row>
    <row r="767" spans="2:15" x14ac:dyDescent="0.25">
      <c r="B767">
        <v>764</v>
      </c>
      <c r="C767" s="1">
        <v>44971</v>
      </c>
      <c r="D767" t="s">
        <v>25</v>
      </c>
      <c r="E767" t="s">
        <v>11</v>
      </c>
      <c r="F767">
        <v>60</v>
      </c>
      <c r="G767">
        <v>7</v>
      </c>
      <c r="H767">
        <v>420</v>
      </c>
      <c r="I767" t="s">
        <v>15</v>
      </c>
      <c r="J767" t="s">
        <v>22</v>
      </c>
      <c r="K767" t="s">
        <v>13</v>
      </c>
      <c r="L767">
        <f t="shared" si="33"/>
        <v>2023</v>
      </c>
      <c r="M767" s="13">
        <f t="shared" si="34"/>
        <v>44958</v>
      </c>
      <c r="N767" t="str">
        <f t="shared" si="35"/>
        <v>Cash</v>
      </c>
      <c r="O767" t="str">
        <f>IF(Tabla22[[#This Row],[quantity]]&gt;=umbral_grande, "Grande", IF(Tabla22[[#This Row],[quantity]]&gt;=umbral_mediano,"Mediano", "Pequeño"))</f>
        <v>Mediano</v>
      </c>
    </row>
    <row r="768" spans="2:15" x14ac:dyDescent="0.25">
      <c r="B768">
        <v>765</v>
      </c>
      <c r="C768" s="1">
        <v>44727</v>
      </c>
      <c r="D768" t="s">
        <v>25</v>
      </c>
      <c r="E768" t="s">
        <v>11</v>
      </c>
      <c r="F768">
        <v>60</v>
      </c>
      <c r="G768">
        <v>13</v>
      </c>
      <c r="H768">
        <v>780</v>
      </c>
      <c r="I768" t="s">
        <v>15</v>
      </c>
      <c r="J768" t="s">
        <v>12</v>
      </c>
      <c r="K768" t="s">
        <v>13</v>
      </c>
      <c r="L768">
        <f t="shared" si="33"/>
        <v>2022</v>
      </c>
      <c r="M768" s="13">
        <f t="shared" si="34"/>
        <v>44713</v>
      </c>
      <c r="N768" t="str">
        <f t="shared" si="35"/>
        <v>Cash</v>
      </c>
      <c r="O768" t="str">
        <f>IF(Tabla22[[#This Row],[quantity]]&gt;=umbral_grande, "Grande", IF(Tabla22[[#This Row],[quantity]]&gt;=umbral_mediano,"Mediano", "Pequeño"))</f>
        <v>Grande</v>
      </c>
    </row>
    <row r="769" spans="2:15" x14ac:dyDescent="0.25">
      <c r="B769">
        <v>766</v>
      </c>
      <c r="C769" s="1">
        <v>44731</v>
      </c>
      <c r="D769" t="s">
        <v>25</v>
      </c>
      <c r="E769" t="s">
        <v>11</v>
      </c>
      <c r="F769">
        <v>60</v>
      </c>
      <c r="G769">
        <v>10</v>
      </c>
      <c r="H769">
        <v>600</v>
      </c>
      <c r="I769" t="s">
        <v>19</v>
      </c>
      <c r="J769" t="s">
        <v>22</v>
      </c>
      <c r="K769" t="s">
        <v>23</v>
      </c>
      <c r="L769">
        <f t="shared" si="33"/>
        <v>2022</v>
      </c>
      <c r="M769" s="13">
        <f t="shared" si="34"/>
        <v>44713</v>
      </c>
      <c r="N769" t="str">
        <f t="shared" si="35"/>
        <v>Online</v>
      </c>
      <c r="O769" t="str">
        <f>IF(Tabla22[[#This Row],[quantity]]&gt;=umbral_grande, "Grande", IF(Tabla22[[#This Row],[quantity]]&gt;=umbral_mediano,"Mediano", "Pequeño"))</f>
        <v>Mediano</v>
      </c>
    </row>
    <row r="770" spans="2:15" x14ac:dyDescent="0.25">
      <c r="B770">
        <v>767</v>
      </c>
      <c r="C770" s="1">
        <v>44983</v>
      </c>
      <c r="D770" t="s">
        <v>24</v>
      </c>
      <c r="E770" t="s">
        <v>11</v>
      </c>
      <c r="F770">
        <v>50</v>
      </c>
      <c r="G770">
        <v>8</v>
      </c>
      <c r="H770">
        <v>400</v>
      </c>
      <c r="I770" t="s">
        <v>15</v>
      </c>
      <c r="J770" t="s">
        <v>22</v>
      </c>
      <c r="K770" t="s">
        <v>16</v>
      </c>
      <c r="L770">
        <f t="shared" si="33"/>
        <v>2023</v>
      </c>
      <c r="M770" s="13">
        <f t="shared" si="34"/>
        <v>44958</v>
      </c>
      <c r="N770" t="str">
        <f t="shared" si="35"/>
        <v>Cash</v>
      </c>
      <c r="O770" t="str">
        <f>IF(Tabla22[[#This Row],[quantity]]&gt;=umbral_grande, "Grande", IF(Tabla22[[#This Row],[quantity]]&gt;=umbral_mediano,"Mediano", "Pequeño"))</f>
        <v>Mediano</v>
      </c>
    </row>
    <row r="771" spans="2:15" x14ac:dyDescent="0.25">
      <c r="B771">
        <v>768</v>
      </c>
      <c r="C771" s="1">
        <v>44938</v>
      </c>
      <c r="D771" t="s">
        <v>25</v>
      </c>
      <c r="E771" t="s">
        <v>11</v>
      </c>
      <c r="F771">
        <v>60</v>
      </c>
      <c r="G771">
        <v>14</v>
      </c>
      <c r="H771">
        <v>840</v>
      </c>
      <c r="I771" t="s">
        <v>15</v>
      </c>
      <c r="J771" t="s">
        <v>12</v>
      </c>
      <c r="K771" t="s">
        <v>16</v>
      </c>
      <c r="L771">
        <f t="shared" si="33"/>
        <v>2023</v>
      </c>
      <c r="M771" s="13">
        <f t="shared" si="34"/>
        <v>44927</v>
      </c>
      <c r="N771" t="str">
        <f t="shared" si="35"/>
        <v>Cash</v>
      </c>
      <c r="O771" t="str">
        <f>IF(Tabla22[[#This Row],[quantity]]&gt;=umbral_grande, "Grande", IF(Tabla22[[#This Row],[quantity]]&gt;=umbral_mediano,"Mediano", "Pequeño"))</f>
        <v>Grande</v>
      </c>
    </row>
    <row r="772" spans="2:15" x14ac:dyDescent="0.25">
      <c r="B772">
        <v>769</v>
      </c>
      <c r="C772" s="1">
        <v>44719</v>
      </c>
      <c r="D772" t="s">
        <v>24</v>
      </c>
      <c r="E772" t="s">
        <v>11</v>
      </c>
      <c r="F772">
        <v>50</v>
      </c>
      <c r="G772">
        <v>8</v>
      </c>
      <c r="H772">
        <v>400</v>
      </c>
      <c r="I772" t="s">
        <v>15</v>
      </c>
      <c r="J772" t="s">
        <v>12</v>
      </c>
      <c r="K772" t="s">
        <v>23</v>
      </c>
      <c r="L772">
        <f t="shared" si="33"/>
        <v>2022</v>
      </c>
      <c r="M772" s="13">
        <f t="shared" si="34"/>
        <v>44713</v>
      </c>
      <c r="N772" t="str">
        <f t="shared" si="35"/>
        <v>Cash</v>
      </c>
      <c r="O772" t="str">
        <f>IF(Tabla22[[#This Row],[quantity]]&gt;=umbral_grande, "Grande", IF(Tabla22[[#This Row],[quantity]]&gt;=umbral_mediano,"Mediano", "Pequeño"))</f>
        <v>Mediano</v>
      </c>
    </row>
    <row r="773" spans="2:15" x14ac:dyDescent="0.25">
      <c r="B773">
        <v>770</v>
      </c>
      <c r="C773" s="1">
        <v>44979</v>
      </c>
      <c r="D773" t="s">
        <v>10</v>
      </c>
      <c r="E773" t="s">
        <v>11</v>
      </c>
      <c r="F773">
        <v>20</v>
      </c>
      <c r="G773">
        <v>8</v>
      </c>
      <c r="H773">
        <v>160</v>
      </c>
      <c r="I773" t="s">
        <v>15</v>
      </c>
      <c r="J773" t="s">
        <v>22</v>
      </c>
      <c r="K773" t="s">
        <v>23</v>
      </c>
      <c r="L773">
        <f t="shared" ref="L773:L836" si="36">YEAR(C773)</f>
        <v>2023</v>
      </c>
      <c r="M773" s="13">
        <f t="shared" ref="M773:M836" si="37">DATE(YEAR(C773),MONTH(C773),1)</f>
        <v>44958</v>
      </c>
      <c r="N773" t="str">
        <f t="shared" ref="N773:N836" si="38">IF(I773 = "", "Sin registrar",I773)</f>
        <v>Cash</v>
      </c>
      <c r="O773" t="str">
        <f>IF(Tabla22[[#This Row],[quantity]]&gt;=umbral_grande, "Grande", IF(Tabla22[[#This Row],[quantity]]&gt;=umbral_mediano,"Mediano", "Pequeño"))</f>
        <v>Mediano</v>
      </c>
    </row>
    <row r="774" spans="2:15" x14ac:dyDescent="0.25">
      <c r="B774">
        <v>771</v>
      </c>
      <c r="C774" s="1">
        <v>44788</v>
      </c>
      <c r="D774" t="s">
        <v>21</v>
      </c>
      <c r="E774" t="s">
        <v>11</v>
      </c>
      <c r="F774">
        <v>20</v>
      </c>
      <c r="G774">
        <v>5</v>
      </c>
      <c r="H774">
        <v>100</v>
      </c>
      <c r="I774" t="s">
        <v>19</v>
      </c>
      <c r="J774" t="s">
        <v>22</v>
      </c>
      <c r="K774" t="s">
        <v>26</v>
      </c>
      <c r="L774">
        <f t="shared" si="36"/>
        <v>2022</v>
      </c>
      <c r="M774" s="13">
        <f t="shared" si="37"/>
        <v>44774</v>
      </c>
      <c r="N774" t="str">
        <f t="shared" si="38"/>
        <v>Online</v>
      </c>
      <c r="O774" t="str">
        <f>IF(Tabla22[[#This Row],[quantity]]&gt;=umbral_grande, "Grande", IF(Tabla22[[#This Row],[quantity]]&gt;=umbral_mediano,"Mediano", "Pequeño"))</f>
        <v>Pequeño</v>
      </c>
    </row>
    <row r="775" spans="2:15" x14ac:dyDescent="0.25">
      <c r="B775">
        <v>772</v>
      </c>
      <c r="C775" s="1">
        <v>45005</v>
      </c>
      <c r="D775" t="s">
        <v>27</v>
      </c>
      <c r="E775" t="s">
        <v>18</v>
      </c>
      <c r="F775">
        <v>40</v>
      </c>
      <c r="G775">
        <v>9</v>
      </c>
      <c r="H775">
        <v>360</v>
      </c>
      <c r="I775" t="s">
        <v>15</v>
      </c>
      <c r="J775" t="s">
        <v>12</v>
      </c>
      <c r="K775" t="s">
        <v>20</v>
      </c>
      <c r="L775">
        <f t="shared" si="36"/>
        <v>2023</v>
      </c>
      <c r="M775" s="13">
        <f t="shared" si="37"/>
        <v>44986</v>
      </c>
      <c r="N775" t="str">
        <f t="shared" si="38"/>
        <v>Cash</v>
      </c>
      <c r="O775" t="str">
        <f>IF(Tabla22[[#This Row],[quantity]]&gt;=umbral_grande, "Grande", IF(Tabla22[[#This Row],[quantity]]&gt;=umbral_mediano,"Mediano", "Pequeño"))</f>
        <v>Mediano</v>
      </c>
    </row>
    <row r="776" spans="2:15" x14ac:dyDescent="0.25">
      <c r="B776">
        <v>773</v>
      </c>
      <c r="C776" s="1">
        <v>44787</v>
      </c>
      <c r="D776" t="s">
        <v>27</v>
      </c>
      <c r="E776" t="s">
        <v>18</v>
      </c>
      <c r="F776">
        <v>40</v>
      </c>
      <c r="G776">
        <v>7</v>
      </c>
      <c r="H776">
        <v>280</v>
      </c>
      <c r="I776" t="s">
        <v>19</v>
      </c>
      <c r="J776" t="s">
        <v>12</v>
      </c>
      <c r="K776" t="s">
        <v>16</v>
      </c>
      <c r="L776">
        <f t="shared" si="36"/>
        <v>2022</v>
      </c>
      <c r="M776" s="13">
        <f t="shared" si="37"/>
        <v>44774</v>
      </c>
      <c r="N776" t="str">
        <f t="shared" si="38"/>
        <v>Online</v>
      </c>
      <c r="O776" t="str">
        <f>IF(Tabla22[[#This Row],[quantity]]&gt;=umbral_grande, "Grande", IF(Tabla22[[#This Row],[quantity]]&gt;=umbral_mediano,"Mediano", "Pequeño"))</f>
        <v>Mediano</v>
      </c>
    </row>
    <row r="777" spans="2:15" x14ac:dyDescent="0.25">
      <c r="B777">
        <v>774</v>
      </c>
      <c r="C777" s="1">
        <v>45000</v>
      </c>
      <c r="D777" t="s">
        <v>14</v>
      </c>
      <c r="E777" t="s">
        <v>11</v>
      </c>
      <c r="F777">
        <v>20</v>
      </c>
      <c r="G777">
        <v>1</v>
      </c>
      <c r="H777">
        <v>20</v>
      </c>
      <c r="I777" t="s">
        <v>19</v>
      </c>
      <c r="J777" t="s">
        <v>22</v>
      </c>
      <c r="K777" t="s">
        <v>13</v>
      </c>
      <c r="L777">
        <f t="shared" si="36"/>
        <v>2023</v>
      </c>
      <c r="M777" s="13">
        <f t="shared" si="37"/>
        <v>44986</v>
      </c>
      <c r="N777" t="str">
        <f t="shared" si="38"/>
        <v>Online</v>
      </c>
      <c r="O777" t="str">
        <f>IF(Tabla22[[#This Row],[quantity]]&gt;=umbral_grande, "Grande", IF(Tabla22[[#This Row],[quantity]]&gt;=umbral_mediano,"Mediano", "Pequeño"))</f>
        <v>Pequeño</v>
      </c>
    </row>
    <row r="778" spans="2:15" x14ac:dyDescent="0.25">
      <c r="B778">
        <v>775</v>
      </c>
      <c r="C778" s="1">
        <v>45012</v>
      </c>
      <c r="D778" t="s">
        <v>25</v>
      </c>
      <c r="E778" t="s">
        <v>11</v>
      </c>
      <c r="F778">
        <v>60</v>
      </c>
      <c r="G778">
        <v>6</v>
      </c>
      <c r="H778">
        <v>360</v>
      </c>
      <c r="I778" t="s">
        <v>15</v>
      </c>
      <c r="J778" t="s">
        <v>12</v>
      </c>
      <c r="K778" t="s">
        <v>13</v>
      </c>
      <c r="L778">
        <f t="shared" si="36"/>
        <v>2023</v>
      </c>
      <c r="M778" s="13">
        <f t="shared" si="37"/>
        <v>44986</v>
      </c>
      <c r="N778" t="str">
        <f t="shared" si="38"/>
        <v>Cash</v>
      </c>
      <c r="O778" t="str">
        <f>IF(Tabla22[[#This Row],[quantity]]&gt;=umbral_grande, "Grande", IF(Tabla22[[#This Row],[quantity]]&gt;=umbral_mediano,"Mediano", "Pequeño"))</f>
        <v>Mediano</v>
      </c>
    </row>
    <row r="779" spans="2:15" x14ac:dyDescent="0.25">
      <c r="B779">
        <v>776</v>
      </c>
      <c r="C779" s="1">
        <v>44964</v>
      </c>
      <c r="D779" t="s">
        <v>24</v>
      </c>
      <c r="E779" t="s">
        <v>11</v>
      </c>
      <c r="F779">
        <v>50</v>
      </c>
      <c r="G779">
        <v>10</v>
      </c>
      <c r="H779">
        <v>500</v>
      </c>
      <c r="I779" t="s">
        <v>15</v>
      </c>
      <c r="J779" t="s">
        <v>12</v>
      </c>
      <c r="K779" t="s">
        <v>26</v>
      </c>
      <c r="L779">
        <f t="shared" si="36"/>
        <v>2023</v>
      </c>
      <c r="M779" s="13">
        <f t="shared" si="37"/>
        <v>44958</v>
      </c>
      <c r="N779" t="str">
        <f t="shared" si="38"/>
        <v>Cash</v>
      </c>
      <c r="O779" t="str">
        <f>IF(Tabla22[[#This Row],[quantity]]&gt;=umbral_grande, "Grande", IF(Tabla22[[#This Row],[quantity]]&gt;=umbral_mediano,"Mediano", "Pequeño"))</f>
        <v>Mediano</v>
      </c>
    </row>
    <row r="780" spans="2:15" x14ac:dyDescent="0.25">
      <c r="B780">
        <v>777</v>
      </c>
      <c r="C780" s="1">
        <v>44857</v>
      </c>
      <c r="D780" t="s">
        <v>21</v>
      </c>
      <c r="E780" t="s">
        <v>11</v>
      </c>
      <c r="F780">
        <v>20</v>
      </c>
      <c r="G780">
        <v>13</v>
      </c>
      <c r="H780">
        <v>260</v>
      </c>
      <c r="I780" t="s">
        <v>15</v>
      </c>
      <c r="J780" t="s">
        <v>12</v>
      </c>
      <c r="K780" t="s">
        <v>23</v>
      </c>
      <c r="L780">
        <f t="shared" si="36"/>
        <v>2022</v>
      </c>
      <c r="M780" s="13">
        <f t="shared" si="37"/>
        <v>44835</v>
      </c>
      <c r="N780" t="str">
        <f t="shared" si="38"/>
        <v>Cash</v>
      </c>
      <c r="O780" t="str">
        <f>IF(Tabla22[[#This Row],[quantity]]&gt;=umbral_grande, "Grande", IF(Tabla22[[#This Row],[quantity]]&gt;=umbral_mediano,"Mediano", "Pequeño"))</f>
        <v>Grande</v>
      </c>
    </row>
    <row r="781" spans="2:15" x14ac:dyDescent="0.25">
      <c r="B781">
        <v>778</v>
      </c>
      <c r="C781" s="1">
        <v>44723</v>
      </c>
      <c r="D781" t="s">
        <v>24</v>
      </c>
      <c r="E781" t="s">
        <v>11</v>
      </c>
      <c r="F781">
        <v>50</v>
      </c>
      <c r="G781">
        <v>13</v>
      </c>
      <c r="H781">
        <v>650</v>
      </c>
      <c r="I781" t="s">
        <v>15</v>
      </c>
      <c r="J781" t="s">
        <v>12</v>
      </c>
      <c r="K781" t="s">
        <v>20</v>
      </c>
      <c r="L781">
        <f t="shared" si="36"/>
        <v>2022</v>
      </c>
      <c r="M781" s="13">
        <f t="shared" si="37"/>
        <v>44713</v>
      </c>
      <c r="N781" t="str">
        <f t="shared" si="38"/>
        <v>Cash</v>
      </c>
      <c r="O781" t="str">
        <f>IF(Tabla22[[#This Row],[quantity]]&gt;=umbral_grande, "Grande", IF(Tabla22[[#This Row],[quantity]]&gt;=umbral_mediano,"Mediano", "Pequeño"))</f>
        <v>Grande</v>
      </c>
    </row>
    <row r="782" spans="2:15" x14ac:dyDescent="0.25">
      <c r="B782">
        <v>779</v>
      </c>
      <c r="C782" s="1">
        <v>44942</v>
      </c>
      <c r="D782" t="s">
        <v>25</v>
      </c>
      <c r="E782" t="s">
        <v>11</v>
      </c>
      <c r="F782">
        <v>60</v>
      </c>
      <c r="G782">
        <v>13</v>
      </c>
      <c r="H782">
        <v>780</v>
      </c>
      <c r="J782" t="s">
        <v>12</v>
      </c>
      <c r="K782" t="s">
        <v>13</v>
      </c>
      <c r="L782">
        <f t="shared" si="36"/>
        <v>2023</v>
      </c>
      <c r="M782" s="13">
        <f t="shared" si="37"/>
        <v>44927</v>
      </c>
      <c r="N782" t="str">
        <f t="shared" si="38"/>
        <v>Sin registrar</v>
      </c>
      <c r="O782" t="str">
        <f>IF(Tabla22[[#This Row],[quantity]]&gt;=umbral_grande, "Grande", IF(Tabla22[[#This Row],[quantity]]&gt;=umbral_mediano,"Mediano", "Pequeño"))</f>
        <v>Grande</v>
      </c>
    </row>
    <row r="783" spans="2:15" x14ac:dyDescent="0.25">
      <c r="B783">
        <v>780</v>
      </c>
      <c r="C783" s="1">
        <v>44892</v>
      </c>
      <c r="D783" t="s">
        <v>17</v>
      </c>
      <c r="E783" t="s">
        <v>18</v>
      </c>
      <c r="F783">
        <v>25</v>
      </c>
      <c r="G783">
        <v>13</v>
      </c>
      <c r="H783">
        <v>325</v>
      </c>
      <c r="I783" t="s">
        <v>19</v>
      </c>
      <c r="J783" t="s">
        <v>22</v>
      </c>
      <c r="K783" t="s">
        <v>16</v>
      </c>
      <c r="L783">
        <f t="shared" si="36"/>
        <v>2022</v>
      </c>
      <c r="M783" s="13">
        <f t="shared" si="37"/>
        <v>44866</v>
      </c>
      <c r="N783" t="str">
        <f t="shared" si="38"/>
        <v>Online</v>
      </c>
      <c r="O783" t="str">
        <f>IF(Tabla22[[#This Row],[quantity]]&gt;=umbral_grande, "Grande", IF(Tabla22[[#This Row],[quantity]]&gt;=umbral_mediano,"Mediano", "Pequeño"))</f>
        <v>Grande</v>
      </c>
    </row>
    <row r="784" spans="2:15" x14ac:dyDescent="0.25">
      <c r="B784">
        <v>781</v>
      </c>
      <c r="C784" s="1">
        <v>44708</v>
      </c>
      <c r="D784" t="s">
        <v>10</v>
      </c>
      <c r="E784" t="s">
        <v>11</v>
      </c>
      <c r="F784">
        <v>20</v>
      </c>
      <c r="G784">
        <v>10</v>
      </c>
      <c r="H784">
        <v>200</v>
      </c>
      <c r="I784" t="s">
        <v>19</v>
      </c>
      <c r="J784" t="s">
        <v>12</v>
      </c>
      <c r="K784" t="s">
        <v>26</v>
      </c>
      <c r="L784">
        <f t="shared" si="36"/>
        <v>2022</v>
      </c>
      <c r="M784" s="13">
        <f t="shared" si="37"/>
        <v>44682</v>
      </c>
      <c r="N784" t="str">
        <f t="shared" si="38"/>
        <v>Online</v>
      </c>
      <c r="O784" t="str">
        <f>IF(Tabla22[[#This Row],[quantity]]&gt;=umbral_grande, "Grande", IF(Tabla22[[#This Row],[quantity]]&gt;=umbral_mediano,"Mediano", "Pequeño"))</f>
        <v>Mediano</v>
      </c>
    </row>
    <row r="785" spans="2:15" x14ac:dyDescent="0.25">
      <c r="B785">
        <v>782</v>
      </c>
      <c r="C785" s="1">
        <v>44911</v>
      </c>
      <c r="D785" t="s">
        <v>10</v>
      </c>
      <c r="E785" t="s">
        <v>11</v>
      </c>
      <c r="F785">
        <v>20</v>
      </c>
      <c r="G785">
        <v>5</v>
      </c>
      <c r="H785">
        <v>100</v>
      </c>
      <c r="I785" t="s">
        <v>19</v>
      </c>
      <c r="J785" t="s">
        <v>12</v>
      </c>
      <c r="K785" t="s">
        <v>13</v>
      </c>
      <c r="L785">
        <f t="shared" si="36"/>
        <v>2022</v>
      </c>
      <c r="M785" s="13">
        <f t="shared" si="37"/>
        <v>44896</v>
      </c>
      <c r="N785" t="str">
        <f t="shared" si="38"/>
        <v>Online</v>
      </c>
      <c r="O785" t="str">
        <f>IF(Tabla22[[#This Row],[quantity]]&gt;=umbral_grande, "Grande", IF(Tabla22[[#This Row],[quantity]]&gt;=umbral_mediano,"Mediano", "Pequeño"))</f>
        <v>Pequeño</v>
      </c>
    </row>
    <row r="786" spans="2:15" x14ac:dyDescent="0.25">
      <c r="B786">
        <v>783</v>
      </c>
      <c r="C786" s="1">
        <v>44680</v>
      </c>
      <c r="D786" t="s">
        <v>10</v>
      </c>
      <c r="E786" t="s">
        <v>11</v>
      </c>
      <c r="F786">
        <v>20</v>
      </c>
      <c r="G786">
        <v>8</v>
      </c>
      <c r="H786">
        <v>160</v>
      </c>
      <c r="I786" t="s">
        <v>15</v>
      </c>
      <c r="J786" t="s">
        <v>12</v>
      </c>
      <c r="K786" t="s">
        <v>23</v>
      </c>
      <c r="L786">
        <f t="shared" si="36"/>
        <v>2022</v>
      </c>
      <c r="M786" s="13">
        <f t="shared" si="37"/>
        <v>44652</v>
      </c>
      <c r="N786" t="str">
        <f t="shared" si="38"/>
        <v>Cash</v>
      </c>
      <c r="O786" t="str">
        <f>IF(Tabla22[[#This Row],[quantity]]&gt;=umbral_grande, "Grande", IF(Tabla22[[#This Row],[quantity]]&gt;=umbral_mediano,"Mediano", "Pequeño"))</f>
        <v>Mediano</v>
      </c>
    </row>
    <row r="787" spans="2:15" x14ac:dyDescent="0.25">
      <c r="B787">
        <v>784</v>
      </c>
      <c r="C787" s="1">
        <v>44751</v>
      </c>
      <c r="D787" t="s">
        <v>14</v>
      </c>
      <c r="E787" t="s">
        <v>11</v>
      </c>
      <c r="F787">
        <v>20</v>
      </c>
      <c r="G787">
        <v>8</v>
      </c>
      <c r="H787">
        <v>160</v>
      </c>
      <c r="I787" t="s">
        <v>15</v>
      </c>
      <c r="J787" t="s">
        <v>22</v>
      </c>
      <c r="K787" t="s">
        <v>23</v>
      </c>
      <c r="L787">
        <f t="shared" si="36"/>
        <v>2022</v>
      </c>
      <c r="M787" s="13">
        <f t="shared" si="37"/>
        <v>44743</v>
      </c>
      <c r="N787" t="str">
        <f t="shared" si="38"/>
        <v>Cash</v>
      </c>
      <c r="O787" t="str">
        <f>IF(Tabla22[[#This Row],[quantity]]&gt;=umbral_grande, "Grande", IF(Tabla22[[#This Row],[quantity]]&gt;=umbral_mediano,"Mediano", "Pequeño"))</f>
        <v>Mediano</v>
      </c>
    </row>
    <row r="788" spans="2:15" x14ac:dyDescent="0.25">
      <c r="B788">
        <v>785</v>
      </c>
      <c r="C788" s="1">
        <v>44902</v>
      </c>
      <c r="D788" t="s">
        <v>10</v>
      </c>
      <c r="E788" t="s">
        <v>11</v>
      </c>
      <c r="F788">
        <v>20</v>
      </c>
      <c r="G788">
        <v>2</v>
      </c>
      <c r="H788">
        <v>40</v>
      </c>
      <c r="I788" t="s">
        <v>19</v>
      </c>
      <c r="J788" t="s">
        <v>12</v>
      </c>
      <c r="K788" t="s">
        <v>16</v>
      </c>
      <c r="L788">
        <f t="shared" si="36"/>
        <v>2022</v>
      </c>
      <c r="M788" s="13">
        <f t="shared" si="37"/>
        <v>44896</v>
      </c>
      <c r="N788" t="str">
        <f t="shared" si="38"/>
        <v>Online</v>
      </c>
      <c r="O788" t="str">
        <f>IF(Tabla22[[#This Row],[quantity]]&gt;=umbral_grande, "Grande", IF(Tabla22[[#This Row],[quantity]]&gt;=umbral_mediano,"Mediano", "Pequeño"))</f>
        <v>Pequeño</v>
      </c>
    </row>
    <row r="789" spans="2:15" x14ac:dyDescent="0.25">
      <c r="B789">
        <v>786</v>
      </c>
      <c r="C789" s="1">
        <v>44998</v>
      </c>
      <c r="D789" t="s">
        <v>25</v>
      </c>
      <c r="E789" t="s">
        <v>11</v>
      </c>
      <c r="F789">
        <v>60</v>
      </c>
      <c r="G789">
        <v>14</v>
      </c>
      <c r="H789">
        <v>840</v>
      </c>
      <c r="I789" t="s">
        <v>19</v>
      </c>
      <c r="J789" t="s">
        <v>22</v>
      </c>
      <c r="K789" t="s">
        <v>13</v>
      </c>
      <c r="L789">
        <f t="shared" si="36"/>
        <v>2023</v>
      </c>
      <c r="M789" s="13">
        <f t="shared" si="37"/>
        <v>44986</v>
      </c>
      <c r="N789" t="str">
        <f t="shared" si="38"/>
        <v>Online</v>
      </c>
      <c r="O789" t="str">
        <f>IF(Tabla22[[#This Row],[quantity]]&gt;=umbral_grande, "Grande", IF(Tabla22[[#This Row],[quantity]]&gt;=umbral_mediano,"Mediano", "Pequeño"))</f>
        <v>Grande</v>
      </c>
    </row>
    <row r="790" spans="2:15" x14ac:dyDescent="0.25">
      <c r="B790">
        <v>787</v>
      </c>
      <c r="C790" s="1">
        <v>45010</v>
      </c>
      <c r="D790" t="s">
        <v>10</v>
      </c>
      <c r="E790" t="s">
        <v>11</v>
      </c>
      <c r="F790">
        <v>20</v>
      </c>
      <c r="G790">
        <v>2</v>
      </c>
      <c r="H790">
        <v>40</v>
      </c>
      <c r="I790" t="s">
        <v>15</v>
      </c>
      <c r="J790" t="s">
        <v>22</v>
      </c>
      <c r="K790" t="s">
        <v>16</v>
      </c>
      <c r="L790">
        <f t="shared" si="36"/>
        <v>2023</v>
      </c>
      <c r="M790" s="13">
        <f t="shared" si="37"/>
        <v>44986</v>
      </c>
      <c r="N790" t="str">
        <f t="shared" si="38"/>
        <v>Cash</v>
      </c>
      <c r="O790" t="str">
        <f>IF(Tabla22[[#This Row],[quantity]]&gt;=umbral_grande, "Grande", IF(Tabla22[[#This Row],[quantity]]&gt;=umbral_mediano,"Mediano", "Pequeño"))</f>
        <v>Pequeño</v>
      </c>
    </row>
    <row r="791" spans="2:15" x14ac:dyDescent="0.25">
      <c r="B791">
        <v>788</v>
      </c>
      <c r="C791" s="1">
        <v>44786</v>
      </c>
      <c r="D791" t="s">
        <v>17</v>
      </c>
      <c r="E791" t="s">
        <v>18</v>
      </c>
      <c r="F791">
        <v>25</v>
      </c>
      <c r="G791">
        <v>7</v>
      </c>
      <c r="H791">
        <v>175</v>
      </c>
      <c r="I791" t="s">
        <v>19</v>
      </c>
      <c r="J791" t="s">
        <v>12</v>
      </c>
      <c r="K791" t="s">
        <v>16</v>
      </c>
      <c r="L791">
        <f t="shared" si="36"/>
        <v>2022</v>
      </c>
      <c r="M791" s="13">
        <f t="shared" si="37"/>
        <v>44774</v>
      </c>
      <c r="N791" t="str">
        <f t="shared" si="38"/>
        <v>Online</v>
      </c>
      <c r="O791" t="str">
        <f>IF(Tabla22[[#This Row],[quantity]]&gt;=umbral_grande, "Grande", IF(Tabla22[[#This Row],[quantity]]&gt;=umbral_mediano,"Mediano", "Pequeño"))</f>
        <v>Mediano</v>
      </c>
    </row>
    <row r="792" spans="2:15" x14ac:dyDescent="0.25">
      <c r="B792">
        <v>789</v>
      </c>
      <c r="C792" s="1">
        <v>44776</v>
      </c>
      <c r="D792" t="s">
        <v>17</v>
      </c>
      <c r="E792" t="s">
        <v>18</v>
      </c>
      <c r="F792">
        <v>25</v>
      </c>
      <c r="G792">
        <v>7</v>
      </c>
      <c r="H792">
        <v>175</v>
      </c>
      <c r="I792" t="s">
        <v>15</v>
      </c>
      <c r="J792" t="s">
        <v>12</v>
      </c>
      <c r="K792" t="s">
        <v>23</v>
      </c>
      <c r="L792">
        <f t="shared" si="36"/>
        <v>2022</v>
      </c>
      <c r="M792" s="13">
        <f t="shared" si="37"/>
        <v>44774</v>
      </c>
      <c r="N792" t="str">
        <f t="shared" si="38"/>
        <v>Cash</v>
      </c>
      <c r="O792" t="str">
        <f>IF(Tabla22[[#This Row],[quantity]]&gt;=umbral_grande, "Grande", IF(Tabla22[[#This Row],[quantity]]&gt;=umbral_mediano,"Mediano", "Pequeño"))</f>
        <v>Mediano</v>
      </c>
    </row>
    <row r="793" spans="2:15" x14ac:dyDescent="0.25">
      <c r="B793">
        <v>790</v>
      </c>
      <c r="C793" s="1">
        <v>44762</v>
      </c>
      <c r="D793" t="s">
        <v>21</v>
      </c>
      <c r="E793" t="s">
        <v>11</v>
      </c>
      <c r="F793">
        <v>20</v>
      </c>
      <c r="G793">
        <v>3</v>
      </c>
      <c r="H793">
        <v>60</v>
      </c>
      <c r="I793" t="s">
        <v>15</v>
      </c>
      <c r="J793" t="s">
        <v>22</v>
      </c>
      <c r="K793" t="s">
        <v>20</v>
      </c>
      <c r="L793">
        <f t="shared" si="36"/>
        <v>2022</v>
      </c>
      <c r="M793" s="13">
        <f t="shared" si="37"/>
        <v>44743</v>
      </c>
      <c r="N793" t="str">
        <f t="shared" si="38"/>
        <v>Cash</v>
      </c>
      <c r="O793" t="str">
        <f>IF(Tabla22[[#This Row],[quantity]]&gt;=umbral_grande, "Grande", IF(Tabla22[[#This Row],[quantity]]&gt;=umbral_mediano,"Mediano", "Pequeño"))</f>
        <v>Pequeño</v>
      </c>
    </row>
    <row r="794" spans="2:15" x14ac:dyDescent="0.25">
      <c r="B794">
        <v>791</v>
      </c>
      <c r="C794" s="1">
        <v>44658</v>
      </c>
      <c r="D794" t="s">
        <v>14</v>
      </c>
      <c r="E794" t="s">
        <v>11</v>
      </c>
      <c r="F794">
        <v>20</v>
      </c>
      <c r="G794">
        <v>3</v>
      </c>
      <c r="H794">
        <v>60</v>
      </c>
      <c r="J794" t="s">
        <v>12</v>
      </c>
      <c r="K794" t="s">
        <v>26</v>
      </c>
      <c r="L794">
        <f t="shared" si="36"/>
        <v>2022</v>
      </c>
      <c r="M794" s="13">
        <f t="shared" si="37"/>
        <v>44652</v>
      </c>
      <c r="N794" t="str">
        <f t="shared" si="38"/>
        <v>Sin registrar</v>
      </c>
      <c r="O794" t="str">
        <f>IF(Tabla22[[#This Row],[quantity]]&gt;=umbral_grande, "Grande", IF(Tabla22[[#This Row],[quantity]]&gt;=umbral_mediano,"Mediano", "Pequeño"))</f>
        <v>Pequeño</v>
      </c>
    </row>
    <row r="795" spans="2:15" x14ac:dyDescent="0.25">
      <c r="B795">
        <v>792</v>
      </c>
      <c r="C795" s="1">
        <v>44982</v>
      </c>
      <c r="D795" t="s">
        <v>14</v>
      </c>
      <c r="E795" t="s">
        <v>11</v>
      </c>
      <c r="F795">
        <v>20</v>
      </c>
      <c r="G795">
        <v>2</v>
      </c>
      <c r="H795">
        <v>40</v>
      </c>
      <c r="I795" t="s">
        <v>15</v>
      </c>
      <c r="J795" t="s">
        <v>22</v>
      </c>
      <c r="K795" t="s">
        <v>23</v>
      </c>
      <c r="L795">
        <f t="shared" si="36"/>
        <v>2023</v>
      </c>
      <c r="M795" s="13">
        <f t="shared" si="37"/>
        <v>44958</v>
      </c>
      <c r="N795" t="str">
        <f t="shared" si="38"/>
        <v>Cash</v>
      </c>
      <c r="O795" t="str">
        <f>IF(Tabla22[[#This Row],[quantity]]&gt;=umbral_grande, "Grande", IF(Tabla22[[#This Row],[quantity]]&gt;=umbral_mediano,"Mediano", "Pequeño"))</f>
        <v>Pequeño</v>
      </c>
    </row>
    <row r="796" spans="2:15" x14ac:dyDescent="0.25">
      <c r="B796">
        <v>793</v>
      </c>
      <c r="C796" s="1">
        <v>44803</v>
      </c>
      <c r="D796" t="s">
        <v>25</v>
      </c>
      <c r="E796" t="s">
        <v>11</v>
      </c>
      <c r="F796">
        <v>60</v>
      </c>
      <c r="G796">
        <v>6</v>
      </c>
      <c r="H796">
        <v>360</v>
      </c>
      <c r="I796" t="s">
        <v>15</v>
      </c>
      <c r="J796" t="s">
        <v>22</v>
      </c>
      <c r="K796" t="s">
        <v>13</v>
      </c>
      <c r="L796">
        <f t="shared" si="36"/>
        <v>2022</v>
      </c>
      <c r="M796" s="13">
        <f t="shared" si="37"/>
        <v>44774</v>
      </c>
      <c r="N796" t="str">
        <f t="shared" si="38"/>
        <v>Cash</v>
      </c>
      <c r="O796" t="str">
        <f>IF(Tabla22[[#This Row],[quantity]]&gt;=umbral_grande, "Grande", IF(Tabla22[[#This Row],[quantity]]&gt;=umbral_mediano,"Mediano", "Pequeño"))</f>
        <v>Mediano</v>
      </c>
    </row>
    <row r="797" spans="2:15" x14ac:dyDescent="0.25">
      <c r="B797">
        <v>794</v>
      </c>
      <c r="C797" s="1">
        <v>44836</v>
      </c>
      <c r="D797" t="s">
        <v>17</v>
      </c>
      <c r="E797" t="s">
        <v>18</v>
      </c>
      <c r="F797">
        <v>25</v>
      </c>
      <c r="G797">
        <v>5</v>
      </c>
      <c r="H797">
        <v>125</v>
      </c>
      <c r="I797" t="s">
        <v>19</v>
      </c>
      <c r="J797" t="s">
        <v>12</v>
      </c>
      <c r="K797" t="s">
        <v>16</v>
      </c>
      <c r="L797">
        <f t="shared" si="36"/>
        <v>2022</v>
      </c>
      <c r="M797" s="13">
        <f t="shared" si="37"/>
        <v>44835</v>
      </c>
      <c r="N797" t="str">
        <f t="shared" si="38"/>
        <v>Online</v>
      </c>
      <c r="O797" t="str">
        <f>IF(Tabla22[[#This Row],[quantity]]&gt;=umbral_grande, "Grande", IF(Tabla22[[#This Row],[quantity]]&gt;=umbral_mediano,"Mediano", "Pequeño"))</f>
        <v>Pequeño</v>
      </c>
    </row>
    <row r="798" spans="2:15" x14ac:dyDescent="0.25">
      <c r="B798">
        <v>795</v>
      </c>
      <c r="C798" s="1">
        <v>44936</v>
      </c>
      <c r="D798" t="s">
        <v>14</v>
      </c>
      <c r="E798" t="s">
        <v>11</v>
      </c>
      <c r="F798">
        <v>20</v>
      </c>
      <c r="G798">
        <v>9</v>
      </c>
      <c r="H798">
        <v>180</v>
      </c>
      <c r="I798" t="s">
        <v>15</v>
      </c>
      <c r="J798" t="s">
        <v>12</v>
      </c>
      <c r="K798" t="s">
        <v>20</v>
      </c>
      <c r="L798">
        <f t="shared" si="36"/>
        <v>2023</v>
      </c>
      <c r="M798" s="13">
        <f t="shared" si="37"/>
        <v>44927</v>
      </c>
      <c r="N798" t="str">
        <f t="shared" si="38"/>
        <v>Cash</v>
      </c>
      <c r="O798" t="str">
        <f>IF(Tabla22[[#This Row],[quantity]]&gt;=umbral_grande, "Grande", IF(Tabla22[[#This Row],[quantity]]&gt;=umbral_mediano,"Mediano", "Pequeño"))</f>
        <v>Mediano</v>
      </c>
    </row>
    <row r="799" spans="2:15" x14ac:dyDescent="0.25">
      <c r="B799">
        <v>796</v>
      </c>
      <c r="C799" s="1">
        <v>44737</v>
      </c>
      <c r="D799" t="s">
        <v>17</v>
      </c>
      <c r="E799" t="s">
        <v>18</v>
      </c>
      <c r="F799">
        <v>25</v>
      </c>
      <c r="G799">
        <v>14</v>
      </c>
      <c r="H799">
        <v>350</v>
      </c>
      <c r="I799" t="s">
        <v>19</v>
      </c>
      <c r="J799" t="s">
        <v>12</v>
      </c>
      <c r="K799" t="s">
        <v>13</v>
      </c>
      <c r="L799">
        <f t="shared" si="36"/>
        <v>2022</v>
      </c>
      <c r="M799" s="13">
        <f t="shared" si="37"/>
        <v>44713</v>
      </c>
      <c r="N799" t="str">
        <f t="shared" si="38"/>
        <v>Online</v>
      </c>
      <c r="O799" t="str">
        <f>IF(Tabla22[[#This Row],[quantity]]&gt;=umbral_grande, "Grande", IF(Tabla22[[#This Row],[quantity]]&gt;=umbral_mediano,"Mediano", "Pequeño"))</f>
        <v>Grande</v>
      </c>
    </row>
    <row r="800" spans="2:15" x14ac:dyDescent="0.25">
      <c r="B800">
        <v>797</v>
      </c>
      <c r="C800" s="1">
        <v>44891</v>
      </c>
      <c r="D800" t="s">
        <v>27</v>
      </c>
      <c r="E800" t="s">
        <v>18</v>
      </c>
      <c r="F800">
        <v>40</v>
      </c>
      <c r="G800">
        <v>11</v>
      </c>
      <c r="H800">
        <v>440</v>
      </c>
      <c r="I800" t="s">
        <v>15</v>
      </c>
      <c r="J800" t="s">
        <v>12</v>
      </c>
      <c r="K800" t="s">
        <v>13</v>
      </c>
      <c r="L800">
        <f t="shared" si="36"/>
        <v>2022</v>
      </c>
      <c r="M800" s="13">
        <f t="shared" si="37"/>
        <v>44866</v>
      </c>
      <c r="N800" t="str">
        <f t="shared" si="38"/>
        <v>Cash</v>
      </c>
      <c r="O800" t="str">
        <f>IF(Tabla22[[#This Row],[quantity]]&gt;=umbral_grande, "Grande", IF(Tabla22[[#This Row],[quantity]]&gt;=umbral_mediano,"Mediano", "Pequeño"))</f>
        <v>Grande</v>
      </c>
    </row>
    <row r="801" spans="2:15" x14ac:dyDescent="0.25">
      <c r="B801">
        <v>798</v>
      </c>
      <c r="C801" s="1">
        <v>44703</v>
      </c>
      <c r="D801" t="s">
        <v>24</v>
      </c>
      <c r="E801" t="s">
        <v>11</v>
      </c>
      <c r="F801">
        <v>50</v>
      </c>
      <c r="G801">
        <v>12</v>
      </c>
      <c r="H801">
        <v>600</v>
      </c>
      <c r="J801" t="s">
        <v>12</v>
      </c>
      <c r="K801" t="s">
        <v>13</v>
      </c>
      <c r="L801">
        <f t="shared" si="36"/>
        <v>2022</v>
      </c>
      <c r="M801" s="13">
        <f t="shared" si="37"/>
        <v>44682</v>
      </c>
      <c r="N801" t="str">
        <f t="shared" si="38"/>
        <v>Sin registrar</v>
      </c>
      <c r="O801" t="str">
        <f>IF(Tabla22[[#This Row],[quantity]]&gt;=umbral_grande, "Grande", IF(Tabla22[[#This Row],[quantity]]&gt;=umbral_mediano,"Mediano", "Pequeño"))</f>
        <v>Grande</v>
      </c>
    </row>
    <row r="802" spans="2:15" x14ac:dyDescent="0.25">
      <c r="B802">
        <v>799</v>
      </c>
      <c r="C802" s="1">
        <v>44937</v>
      </c>
      <c r="D802" t="s">
        <v>21</v>
      </c>
      <c r="E802" t="s">
        <v>11</v>
      </c>
      <c r="F802">
        <v>20</v>
      </c>
      <c r="G802">
        <v>1</v>
      </c>
      <c r="H802">
        <v>20</v>
      </c>
      <c r="I802" t="s">
        <v>19</v>
      </c>
      <c r="J802" t="s">
        <v>22</v>
      </c>
      <c r="K802" t="s">
        <v>13</v>
      </c>
      <c r="L802">
        <f t="shared" si="36"/>
        <v>2023</v>
      </c>
      <c r="M802" s="13">
        <f t="shared" si="37"/>
        <v>44927</v>
      </c>
      <c r="N802" t="str">
        <f t="shared" si="38"/>
        <v>Online</v>
      </c>
      <c r="O802" t="str">
        <f>IF(Tabla22[[#This Row],[quantity]]&gt;=umbral_grande, "Grande", IF(Tabla22[[#This Row],[quantity]]&gt;=umbral_mediano,"Mediano", "Pequeño"))</f>
        <v>Pequeño</v>
      </c>
    </row>
    <row r="803" spans="2:15" x14ac:dyDescent="0.25">
      <c r="B803">
        <v>800</v>
      </c>
      <c r="C803" s="1">
        <v>44871</v>
      </c>
      <c r="D803" t="s">
        <v>27</v>
      </c>
      <c r="E803" t="s">
        <v>18</v>
      </c>
      <c r="F803">
        <v>40</v>
      </c>
      <c r="G803">
        <v>14</v>
      </c>
      <c r="H803">
        <v>560</v>
      </c>
      <c r="I803" t="s">
        <v>15</v>
      </c>
      <c r="J803" t="s">
        <v>12</v>
      </c>
      <c r="K803" t="s">
        <v>13</v>
      </c>
      <c r="L803">
        <f t="shared" si="36"/>
        <v>2022</v>
      </c>
      <c r="M803" s="13">
        <f t="shared" si="37"/>
        <v>44866</v>
      </c>
      <c r="N803" t="str">
        <f t="shared" si="38"/>
        <v>Cash</v>
      </c>
      <c r="O803" t="str">
        <f>IF(Tabla22[[#This Row],[quantity]]&gt;=umbral_grande, "Grande", IF(Tabla22[[#This Row],[quantity]]&gt;=umbral_mediano,"Mediano", "Pequeño"))</f>
        <v>Grande</v>
      </c>
    </row>
    <row r="804" spans="2:15" x14ac:dyDescent="0.25">
      <c r="B804">
        <v>801</v>
      </c>
      <c r="C804" s="1">
        <v>44679</v>
      </c>
      <c r="D804" t="s">
        <v>10</v>
      </c>
      <c r="E804" t="s">
        <v>11</v>
      </c>
      <c r="F804">
        <v>20</v>
      </c>
      <c r="G804">
        <v>7</v>
      </c>
      <c r="H804">
        <v>140</v>
      </c>
      <c r="I804" t="s">
        <v>15</v>
      </c>
      <c r="J804" t="s">
        <v>22</v>
      </c>
      <c r="K804" t="s">
        <v>20</v>
      </c>
      <c r="L804">
        <f t="shared" si="36"/>
        <v>2022</v>
      </c>
      <c r="M804" s="13">
        <f t="shared" si="37"/>
        <v>44652</v>
      </c>
      <c r="N804" t="str">
        <f t="shared" si="38"/>
        <v>Cash</v>
      </c>
      <c r="O804" t="str">
        <f>IF(Tabla22[[#This Row],[quantity]]&gt;=umbral_grande, "Grande", IF(Tabla22[[#This Row],[quantity]]&gt;=umbral_mediano,"Mediano", "Pequeño"))</f>
        <v>Mediano</v>
      </c>
    </row>
    <row r="805" spans="2:15" x14ac:dyDescent="0.25">
      <c r="B805">
        <v>802</v>
      </c>
      <c r="C805" s="1">
        <v>44949</v>
      </c>
      <c r="D805" t="s">
        <v>25</v>
      </c>
      <c r="E805" t="s">
        <v>11</v>
      </c>
      <c r="F805">
        <v>60</v>
      </c>
      <c r="G805">
        <v>7</v>
      </c>
      <c r="H805">
        <v>420</v>
      </c>
      <c r="I805" t="s">
        <v>19</v>
      </c>
      <c r="J805" t="s">
        <v>22</v>
      </c>
      <c r="K805" t="s">
        <v>16</v>
      </c>
      <c r="L805">
        <f t="shared" si="36"/>
        <v>2023</v>
      </c>
      <c r="M805" s="13">
        <f t="shared" si="37"/>
        <v>44927</v>
      </c>
      <c r="N805" t="str">
        <f t="shared" si="38"/>
        <v>Online</v>
      </c>
      <c r="O805" t="str">
        <f>IF(Tabla22[[#This Row],[quantity]]&gt;=umbral_grande, "Grande", IF(Tabla22[[#This Row],[quantity]]&gt;=umbral_mediano,"Mediano", "Pequeño"))</f>
        <v>Mediano</v>
      </c>
    </row>
    <row r="806" spans="2:15" x14ac:dyDescent="0.25">
      <c r="B806">
        <v>803</v>
      </c>
      <c r="C806" s="1">
        <v>44800</v>
      </c>
      <c r="D806" t="s">
        <v>14</v>
      </c>
      <c r="E806" t="s">
        <v>11</v>
      </c>
      <c r="F806">
        <v>20</v>
      </c>
      <c r="G806">
        <v>5</v>
      </c>
      <c r="H806">
        <v>100</v>
      </c>
      <c r="J806" t="s">
        <v>12</v>
      </c>
      <c r="K806" t="s">
        <v>13</v>
      </c>
      <c r="L806">
        <f t="shared" si="36"/>
        <v>2022</v>
      </c>
      <c r="M806" s="13">
        <f t="shared" si="37"/>
        <v>44774</v>
      </c>
      <c r="N806" t="str">
        <f t="shared" si="38"/>
        <v>Sin registrar</v>
      </c>
      <c r="O806" t="str">
        <f>IF(Tabla22[[#This Row],[quantity]]&gt;=umbral_grande, "Grande", IF(Tabla22[[#This Row],[quantity]]&gt;=umbral_mediano,"Mediano", "Pequeño"))</f>
        <v>Pequeño</v>
      </c>
    </row>
    <row r="807" spans="2:15" x14ac:dyDescent="0.25">
      <c r="B807">
        <v>804</v>
      </c>
      <c r="C807" s="1">
        <v>44845</v>
      </c>
      <c r="D807" t="s">
        <v>27</v>
      </c>
      <c r="E807" t="s">
        <v>18</v>
      </c>
      <c r="F807">
        <v>40</v>
      </c>
      <c r="G807">
        <v>12</v>
      </c>
      <c r="H807">
        <v>480</v>
      </c>
      <c r="I807" t="s">
        <v>19</v>
      </c>
      <c r="J807" t="s">
        <v>22</v>
      </c>
      <c r="K807" t="s">
        <v>13</v>
      </c>
      <c r="L807">
        <f t="shared" si="36"/>
        <v>2022</v>
      </c>
      <c r="M807" s="13">
        <f t="shared" si="37"/>
        <v>44835</v>
      </c>
      <c r="N807" t="str">
        <f t="shared" si="38"/>
        <v>Online</v>
      </c>
      <c r="O807" t="str">
        <f>IF(Tabla22[[#This Row],[quantity]]&gt;=umbral_grande, "Grande", IF(Tabla22[[#This Row],[quantity]]&gt;=umbral_mediano,"Mediano", "Pequeño"))</f>
        <v>Grande</v>
      </c>
    </row>
    <row r="808" spans="2:15" x14ac:dyDescent="0.25">
      <c r="B808">
        <v>805</v>
      </c>
      <c r="C808" s="1">
        <v>44689</v>
      </c>
      <c r="D808" t="s">
        <v>17</v>
      </c>
      <c r="E808" t="s">
        <v>18</v>
      </c>
      <c r="F808">
        <v>25</v>
      </c>
      <c r="G808">
        <v>1</v>
      </c>
      <c r="H808">
        <v>25</v>
      </c>
      <c r="I808" t="s">
        <v>19</v>
      </c>
      <c r="J808" t="s">
        <v>12</v>
      </c>
      <c r="K808" t="s">
        <v>16</v>
      </c>
      <c r="L808">
        <f t="shared" si="36"/>
        <v>2022</v>
      </c>
      <c r="M808" s="13">
        <f t="shared" si="37"/>
        <v>44682</v>
      </c>
      <c r="N808" t="str">
        <f t="shared" si="38"/>
        <v>Online</v>
      </c>
      <c r="O808" t="str">
        <f>IF(Tabla22[[#This Row],[quantity]]&gt;=umbral_grande, "Grande", IF(Tabla22[[#This Row],[quantity]]&gt;=umbral_mediano,"Mediano", "Pequeño"))</f>
        <v>Pequeño</v>
      </c>
    </row>
    <row r="809" spans="2:15" x14ac:dyDescent="0.25">
      <c r="B809">
        <v>806</v>
      </c>
      <c r="C809" s="1">
        <v>44704</v>
      </c>
      <c r="D809" t="s">
        <v>14</v>
      </c>
      <c r="E809" t="s">
        <v>11</v>
      </c>
      <c r="F809">
        <v>20</v>
      </c>
      <c r="G809">
        <v>3</v>
      </c>
      <c r="H809">
        <v>60</v>
      </c>
      <c r="I809" t="s">
        <v>19</v>
      </c>
      <c r="J809" t="s">
        <v>12</v>
      </c>
      <c r="K809" t="s">
        <v>20</v>
      </c>
      <c r="L809">
        <f t="shared" si="36"/>
        <v>2022</v>
      </c>
      <c r="M809" s="13">
        <f t="shared" si="37"/>
        <v>44682</v>
      </c>
      <c r="N809" t="str">
        <f t="shared" si="38"/>
        <v>Online</v>
      </c>
      <c r="O809" t="str">
        <f>IF(Tabla22[[#This Row],[quantity]]&gt;=umbral_grande, "Grande", IF(Tabla22[[#This Row],[quantity]]&gt;=umbral_mediano,"Mediano", "Pequeño"))</f>
        <v>Pequeño</v>
      </c>
    </row>
    <row r="810" spans="2:15" x14ac:dyDescent="0.25">
      <c r="B810">
        <v>807</v>
      </c>
      <c r="C810" s="1">
        <v>44725</v>
      </c>
      <c r="D810" t="s">
        <v>24</v>
      </c>
      <c r="E810" t="s">
        <v>11</v>
      </c>
      <c r="F810">
        <v>50</v>
      </c>
      <c r="G810">
        <v>1</v>
      </c>
      <c r="H810">
        <v>50</v>
      </c>
      <c r="I810" t="s">
        <v>19</v>
      </c>
      <c r="J810" t="s">
        <v>22</v>
      </c>
      <c r="K810" t="s">
        <v>26</v>
      </c>
      <c r="L810">
        <f t="shared" si="36"/>
        <v>2022</v>
      </c>
      <c r="M810" s="13">
        <f t="shared" si="37"/>
        <v>44713</v>
      </c>
      <c r="N810" t="str">
        <f t="shared" si="38"/>
        <v>Online</v>
      </c>
      <c r="O810" t="str">
        <f>IF(Tabla22[[#This Row],[quantity]]&gt;=umbral_grande, "Grande", IF(Tabla22[[#This Row],[quantity]]&gt;=umbral_mediano,"Mediano", "Pequeño"))</f>
        <v>Pequeño</v>
      </c>
    </row>
    <row r="811" spans="2:15" x14ac:dyDescent="0.25">
      <c r="B811">
        <v>808</v>
      </c>
      <c r="C811" s="1">
        <v>44825</v>
      </c>
      <c r="D811" t="s">
        <v>21</v>
      </c>
      <c r="E811" t="s">
        <v>11</v>
      </c>
      <c r="F811">
        <v>20</v>
      </c>
      <c r="G811">
        <v>1</v>
      </c>
      <c r="H811">
        <v>20</v>
      </c>
      <c r="I811" t="s">
        <v>19</v>
      </c>
      <c r="J811" t="s">
        <v>12</v>
      </c>
      <c r="K811" t="s">
        <v>23</v>
      </c>
      <c r="L811">
        <f t="shared" si="36"/>
        <v>2022</v>
      </c>
      <c r="M811" s="13">
        <f t="shared" si="37"/>
        <v>44805</v>
      </c>
      <c r="N811" t="str">
        <f t="shared" si="38"/>
        <v>Online</v>
      </c>
      <c r="O811" t="str">
        <f>IF(Tabla22[[#This Row],[quantity]]&gt;=umbral_grande, "Grande", IF(Tabla22[[#This Row],[quantity]]&gt;=umbral_mediano,"Mediano", "Pequeño"))</f>
        <v>Pequeño</v>
      </c>
    </row>
    <row r="812" spans="2:15" x14ac:dyDescent="0.25">
      <c r="B812">
        <v>809</v>
      </c>
      <c r="C812" s="1">
        <v>44907</v>
      </c>
      <c r="D812" t="s">
        <v>21</v>
      </c>
      <c r="E812" t="s">
        <v>11</v>
      </c>
      <c r="F812">
        <v>20</v>
      </c>
      <c r="G812">
        <v>10</v>
      </c>
      <c r="H812">
        <v>200</v>
      </c>
      <c r="I812" t="s">
        <v>19</v>
      </c>
      <c r="J812" t="s">
        <v>12</v>
      </c>
      <c r="K812" t="s">
        <v>20</v>
      </c>
      <c r="L812">
        <f t="shared" si="36"/>
        <v>2022</v>
      </c>
      <c r="M812" s="13">
        <f t="shared" si="37"/>
        <v>44896</v>
      </c>
      <c r="N812" t="str">
        <f t="shared" si="38"/>
        <v>Online</v>
      </c>
      <c r="O812" t="str">
        <f>IF(Tabla22[[#This Row],[quantity]]&gt;=umbral_grande, "Grande", IF(Tabla22[[#This Row],[quantity]]&gt;=umbral_mediano,"Mediano", "Pequeño"))</f>
        <v>Mediano</v>
      </c>
    </row>
    <row r="813" spans="2:15" x14ac:dyDescent="0.25">
      <c r="B813">
        <v>810</v>
      </c>
      <c r="C813" s="1">
        <v>44922</v>
      </c>
      <c r="D813" t="s">
        <v>14</v>
      </c>
      <c r="E813" t="s">
        <v>11</v>
      </c>
      <c r="F813">
        <v>20</v>
      </c>
      <c r="G813">
        <v>3</v>
      </c>
      <c r="H813">
        <v>60</v>
      </c>
      <c r="I813" t="s">
        <v>19</v>
      </c>
      <c r="J813" t="s">
        <v>12</v>
      </c>
      <c r="K813" t="s">
        <v>23</v>
      </c>
      <c r="L813">
        <f t="shared" si="36"/>
        <v>2022</v>
      </c>
      <c r="M813" s="13">
        <f t="shared" si="37"/>
        <v>44896</v>
      </c>
      <c r="N813" t="str">
        <f t="shared" si="38"/>
        <v>Online</v>
      </c>
      <c r="O813" t="str">
        <f>IF(Tabla22[[#This Row],[quantity]]&gt;=umbral_grande, "Grande", IF(Tabla22[[#This Row],[quantity]]&gt;=umbral_mediano,"Mediano", "Pequeño"))</f>
        <v>Pequeño</v>
      </c>
    </row>
    <row r="814" spans="2:15" x14ac:dyDescent="0.25">
      <c r="B814">
        <v>811</v>
      </c>
      <c r="C814" s="1">
        <v>44987</v>
      </c>
      <c r="D814" t="s">
        <v>10</v>
      </c>
      <c r="E814" t="s">
        <v>11</v>
      </c>
      <c r="F814">
        <v>20</v>
      </c>
      <c r="G814">
        <v>13</v>
      </c>
      <c r="H814">
        <v>260</v>
      </c>
      <c r="I814" t="s">
        <v>15</v>
      </c>
      <c r="J814" t="s">
        <v>12</v>
      </c>
      <c r="K814" t="s">
        <v>16</v>
      </c>
      <c r="L814">
        <f t="shared" si="36"/>
        <v>2023</v>
      </c>
      <c r="M814" s="13">
        <f t="shared" si="37"/>
        <v>44986</v>
      </c>
      <c r="N814" t="str">
        <f t="shared" si="38"/>
        <v>Cash</v>
      </c>
      <c r="O814" t="str">
        <f>IF(Tabla22[[#This Row],[quantity]]&gt;=umbral_grande, "Grande", IF(Tabla22[[#This Row],[quantity]]&gt;=umbral_mediano,"Mediano", "Pequeño"))</f>
        <v>Grande</v>
      </c>
    </row>
    <row r="815" spans="2:15" x14ac:dyDescent="0.25">
      <c r="B815">
        <v>812</v>
      </c>
      <c r="C815" s="1">
        <v>44781</v>
      </c>
      <c r="D815" t="s">
        <v>21</v>
      </c>
      <c r="E815" t="s">
        <v>11</v>
      </c>
      <c r="F815">
        <v>20</v>
      </c>
      <c r="G815">
        <v>5</v>
      </c>
      <c r="H815">
        <v>100</v>
      </c>
      <c r="I815" t="s">
        <v>15</v>
      </c>
      <c r="J815" t="s">
        <v>12</v>
      </c>
      <c r="K815" t="s">
        <v>16</v>
      </c>
      <c r="L815">
        <f t="shared" si="36"/>
        <v>2022</v>
      </c>
      <c r="M815" s="13">
        <f t="shared" si="37"/>
        <v>44774</v>
      </c>
      <c r="N815" t="str">
        <f t="shared" si="38"/>
        <v>Cash</v>
      </c>
      <c r="O815" t="str">
        <f>IF(Tabla22[[#This Row],[quantity]]&gt;=umbral_grande, "Grande", IF(Tabla22[[#This Row],[quantity]]&gt;=umbral_mediano,"Mediano", "Pequeño"))</f>
        <v>Pequeño</v>
      </c>
    </row>
    <row r="816" spans="2:15" x14ac:dyDescent="0.25">
      <c r="B816">
        <v>813</v>
      </c>
      <c r="C816" s="1">
        <v>44847</v>
      </c>
      <c r="D816" t="s">
        <v>21</v>
      </c>
      <c r="E816" t="s">
        <v>11</v>
      </c>
      <c r="F816">
        <v>20</v>
      </c>
      <c r="G816">
        <v>10</v>
      </c>
      <c r="H816">
        <v>200</v>
      </c>
      <c r="I816" t="s">
        <v>19</v>
      </c>
      <c r="J816" t="s">
        <v>12</v>
      </c>
      <c r="K816" t="s">
        <v>16</v>
      </c>
      <c r="L816">
        <f t="shared" si="36"/>
        <v>2022</v>
      </c>
      <c r="M816" s="13">
        <f t="shared" si="37"/>
        <v>44835</v>
      </c>
      <c r="N816" t="str">
        <f t="shared" si="38"/>
        <v>Online</v>
      </c>
      <c r="O816" t="str">
        <f>IF(Tabla22[[#This Row],[quantity]]&gt;=umbral_grande, "Grande", IF(Tabla22[[#This Row],[quantity]]&gt;=umbral_mediano,"Mediano", "Pequeño"))</f>
        <v>Mediano</v>
      </c>
    </row>
    <row r="817" spans="2:15" x14ac:dyDescent="0.25">
      <c r="B817">
        <v>814</v>
      </c>
      <c r="C817" s="1">
        <v>44839</v>
      </c>
      <c r="D817" t="s">
        <v>14</v>
      </c>
      <c r="E817" t="s">
        <v>11</v>
      </c>
      <c r="F817">
        <v>20</v>
      </c>
      <c r="G817">
        <v>13</v>
      </c>
      <c r="H817">
        <v>260</v>
      </c>
      <c r="I817" t="s">
        <v>15</v>
      </c>
      <c r="J817" t="s">
        <v>22</v>
      </c>
      <c r="K817" t="s">
        <v>26</v>
      </c>
      <c r="L817">
        <f t="shared" si="36"/>
        <v>2022</v>
      </c>
      <c r="M817" s="13">
        <f t="shared" si="37"/>
        <v>44835</v>
      </c>
      <c r="N817" t="str">
        <f t="shared" si="38"/>
        <v>Cash</v>
      </c>
      <c r="O817" t="str">
        <f>IF(Tabla22[[#This Row],[quantity]]&gt;=umbral_grande, "Grande", IF(Tabla22[[#This Row],[quantity]]&gt;=umbral_mediano,"Mediano", "Pequeño"))</f>
        <v>Grande</v>
      </c>
    </row>
    <row r="818" spans="2:15" x14ac:dyDescent="0.25">
      <c r="B818">
        <v>815</v>
      </c>
      <c r="C818" s="1">
        <v>44671</v>
      </c>
      <c r="D818" t="s">
        <v>27</v>
      </c>
      <c r="E818" t="s">
        <v>18</v>
      </c>
      <c r="F818">
        <v>40</v>
      </c>
      <c r="G818">
        <v>12</v>
      </c>
      <c r="H818">
        <v>480</v>
      </c>
      <c r="I818" t="s">
        <v>19</v>
      </c>
      <c r="J818" t="s">
        <v>22</v>
      </c>
      <c r="K818" t="s">
        <v>16</v>
      </c>
      <c r="L818">
        <f t="shared" si="36"/>
        <v>2022</v>
      </c>
      <c r="M818" s="13">
        <f t="shared" si="37"/>
        <v>44652</v>
      </c>
      <c r="N818" t="str">
        <f t="shared" si="38"/>
        <v>Online</v>
      </c>
      <c r="O818" t="str">
        <f>IF(Tabla22[[#This Row],[quantity]]&gt;=umbral_grande, "Grande", IF(Tabla22[[#This Row],[quantity]]&gt;=umbral_mediano,"Mediano", "Pequeño"))</f>
        <v>Grande</v>
      </c>
    </row>
    <row r="819" spans="2:15" x14ac:dyDescent="0.25">
      <c r="B819">
        <v>816</v>
      </c>
      <c r="C819" s="1">
        <v>44937</v>
      </c>
      <c r="D819" t="s">
        <v>17</v>
      </c>
      <c r="E819" t="s">
        <v>18</v>
      </c>
      <c r="F819">
        <v>25</v>
      </c>
      <c r="G819">
        <v>11</v>
      </c>
      <c r="H819">
        <v>275</v>
      </c>
      <c r="I819" t="s">
        <v>15</v>
      </c>
      <c r="J819" t="s">
        <v>12</v>
      </c>
      <c r="K819" t="s">
        <v>23</v>
      </c>
      <c r="L819">
        <f t="shared" si="36"/>
        <v>2023</v>
      </c>
      <c r="M819" s="13">
        <f t="shared" si="37"/>
        <v>44927</v>
      </c>
      <c r="N819" t="str">
        <f t="shared" si="38"/>
        <v>Cash</v>
      </c>
      <c r="O819" t="str">
        <f>IF(Tabla22[[#This Row],[quantity]]&gt;=umbral_grande, "Grande", IF(Tabla22[[#This Row],[quantity]]&gt;=umbral_mediano,"Mediano", "Pequeño"))</f>
        <v>Grande</v>
      </c>
    </row>
    <row r="820" spans="2:15" x14ac:dyDescent="0.25">
      <c r="B820">
        <v>817</v>
      </c>
      <c r="C820" s="1">
        <v>44702</v>
      </c>
      <c r="D820" t="s">
        <v>10</v>
      </c>
      <c r="E820" t="s">
        <v>11</v>
      </c>
      <c r="F820">
        <v>20</v>
      </c>
      <c r="G820">
        <v>12</v>
      </c>
      <c r="H820">
        <v>240</v>
      </c>
      <c r="I820" t="s">
        <v>15</v>
      </c>
      <c r="J820" t="s">
        <v>22</v>
      </c>
      <c r="K820" t="s">
        <v>20</v>
      </c>
      <c r="L820">
        <f t="shared" si="36"/>
        <v>2022</v>
      </c>
      <c r="M820" s="13">
        <f t="shared" si="37"/>
        <v>44682</v>
      </c>
      <c r="N820" t="str">
        <f t="shared" si="38"/>
        <v>Cash</v>
      </c>
      <c r="O820" t="str">
        <f>IF(Tabla22[[#This Row],[quantity]]&gt;=umbral_grande, "Grande", IF(Tabla22[[#This Row],[quantity]]&gt;=umbral_mediano,"Mediano", "Pequeño"))</f>
        <v>Grande</v>
      </c>
    </row>
    <row r="821" spans="2:15" x14ac:dyDescent="0.25">
      <c r="B821">
        <v>818</v>
      </c>
      <c r="C821" s="1">
        <v>44985</v>
      </c>
      <c r="D821" t="s">
        <v>24</v>
      </c>
      <c r="E821" t="s">
        <v>11</v>
      </c>
      <c r="F821">
        <v>50</v>
      </c>
      <c r="G821">
        <v>6</v>
      </c>
      <c r="H821">
        <v>300</v>
      </c>
      <c r="I821" t="s">
        <v>15</v>
      </c>
      <c r="J821" t="s">
        <v>12</v>
      </c>
      <c r="K821" t="s">
        <v>13</v>
      </c>
      <c r="L821">
        <f t="shared" si="36"/>
        <v>2023</v>
      </c>
      <c r="M821" s="13">
        <f t="shared" si="37"/>
        <v>44958</v>
      </c>
      <c r="N821" t="str">
        <f t="shared" si="38"/>
        <v>Cash</v>
      </c>
      <c r="O821" t="str">
        <f>IF(Tabla22[[#This Row],[quantity]]&gt;=umbral_grande, "Grande", IF(Tabla22[[#This Row],[quantity]]&gt;=umbral_mediano,"Mediano", "Pequeño"))</f>
        <v>Mediano</v>
      </c>
    </row>
    <row r="822" spans="2:15" x14ac:dyDescent="0.25">
      <c r="B822">
        <v>819</v>
      </c>
      <c r="C822" s="1">
        <v>44846</v>
      </c>
      <c r="D822" t="s">
        <v>14</v>
      </c>
      <c r="E822" t="s">
        <v>11</v>
      </c>
      <c r="F822">
        <v>20</v>
      </c>
      <c r="G822">
        <v>10</v>
      </c>
      <c r="H822">
        <v>200</v>
      </c>
      <c r="I822" t="s">
        <v>15</v>
      </c>
      <c r="J822" t="s">
        <v>12</v>
      </c>
      <c r="K822" t="s">
        <v>20</v>
      </c>
      <c r="L822">
        <f t="shared" si="36"/>
        <v>2022</v>
      </c>
      <c r="M822" s="13">
        <f t="shared" si="37"/>
        <v>44835</v>
      </c>
      <c r="N822" t="str">
        <f t="shared" si="38"/>
        <v>Cash</v>
      </c>
      <c r="O822" t="str">
        <f>IF(Tabla22[[#This Row],[quantity]]&gt;=umbral_grande, "Grande", IF(Tabla22[[#This Row],[quantity]]&gt;=umbral_mediano,"Mediano", "Pequeño"))</f>
        <v>Mediano</v>
      </c>
    </row>
    <row r="823" spans="2:15" x14ac:dyDescent="0.25">
      <c r="B823">
        <v>820</v>
      </c>
      <c r="C823" s="1">
        <v>44981</v>
      </c>
      <c r="D823" t="s">
        <v>10</v>
      </c>
      <c r="E823" t="s">
        <v>11</v>
      </c>
      <c r="F823">
        <v>20</v>
      </c>
      <c r="G823">
        <v>3</v>
      </c>
      <c r="H823">
        <v>60</v>
      </c>
      <c r="J823" t="s">
        <v>12</v>
      </c>
      <c r="K823" t="s">
        <v>26</v>
      </c>
      <c r="L823">
        <f t="shared" si="36"/>
        <v>2023</v>
      </c>
      <c r="M823" s="13">
        <f t="shared" si="37"/>
        <v>44958</v>
      </c>
      <c r="N823" t="str">
        <f t="shared" si="38"/>
        <v>Sin registrar</v>
      </c>
      <c r="O823" t="str">
        <f>IF(Tabla22[[#This Row],[quantity]]&gt;=umbral_grande, "Grande", IF(Tabla22[[#This Row],[quantity]]&gt;=umbral_mediano,"Mediano", "Pequeño"))</f>
        <v>Pequeño</v>
      </c>
    </row>
    <row r="824" spans="2:15" x14ac:dyDescent="0.25">
      <c r="B824">
        <v>821</v>
      </c>
      <c r="C824" s="1">
        <v>44766</v>
      </c>
      <c r="D824" t="s">
        <v>10</v>
      </c>
      <c r="E824" t="s">
        <v>11</v>
      </c>
      <c r="F824">
        <v>20</v>
      </c>
      <c r="G824">
        <v>12</v>
      </c>
      <c r="H824">
        <v>240</v>
      </c>
      <c r="I824" t="s">
        <v>15</v>
      </c>
      <c r="J824" t="s">
        <v>22</v>
      </c>
      <c r="K824" t="s">
        <v>26</v>
      </c>
      <c r="L824">
        <f t="shared" si="36"/>
        <v>2022</v>
      </c>
      <c r="M824" s="13">
        <f t="shared" si="37"/>
        <v>44743</v>
      </c>
      <c r="N824" t="str">
        <f t="shared" si="38"/>
        <v>Cash</v>
      </c>
      <c r="O824" t="str">
        <f>IF(Tabla22[[#This Row],[quantity]]&gt;=umbral_grande, "Grande", IF(Tabla22[[#This Row],[quantity]]&gt;=umbral_mediano,"Mediano", "Pequeño"))</f>
        <v>Grande</v>
      </c>
    </row>
    <row r="825" spans="2:15" x14ac:dyDescent="0.25">
      <c r="B825">
        <v>822</v>
      </c>
      <c r="C825" s="1">
        <v>44729</v>
      </c>
      <c r="D825" t="s">
        <v>21</v>
      </c>
      <c r="E825" t="s">
        <v>11</v>
      </c>
      <c r="F825">
        <v>20</v>
      </c>
      <c r="G825">
        <v>12</v>
      </c>
      <c r="H825">
        <v>240</v>
      </c>
      <c r="I825" t="s">
        <v>19</v>
      </c>
      <c r="J825" t="s">
        <v>12</v>
      </c>
      <c r="K825" t="s">
        <v>23</v>
      </c>
      <c r="L825">
        <f t="shared" si="36"/>
        <v>2022</v>
      </c>
      <c r="M825" s="13">
        <f t="shared" si="37"/>
        <v>44713</v>
      </c>
      <c r="N825" t="str">
        <f t="shared" si="38"/>
        <v>Online</v>
      </c>
      <c r="O825" t="str">
        <f>IF(Tabla22[[#This Row],[quantity]]&gt;=umbral_grande, "Grande", IF(Tabla22[[#This Row],[quantity]]&gt;=umbral_mediano,"Mediano", "Pequeño"))</f>
        <v>Grande</v>
      </c>
    </row>
    <row r="826" spans="2:15" x14ac:dyDescent="0.25">
      <c r="B826">
        <v>823</v>
      </c>
      <c r="C826" s="1">
        <v>44970</v>
      </c>
      <c r="D826" t="s">
        <v>21</v>
      </c>
      <c r="E826" t="s">
        <v>11</v>
      </c>
      <c r="F826">
        <v>20</v>
      </c>
      <c r="G826">
        <v>11</v>
      </c>
      <c r="H826">
        <v>220</v>
      </c>
      <c r="I826" t="s">
        <v>19</v>
      </c>
      <c r="J826" t="s">
        <v>12</v>
      </c>
      <c r="K826" t="s">
        <v>26</v>
      </c>
      <c r="L826">
        <f t="shared" si="36"/>
        <v>2023</v>
      </c>
      <c r="M826" s="13">
        <f t="shared" si="37"/>
        <v>44958</v>
      </c>
      <c r="N826" t="str">
        <f t="shared" si="38"/>
        <v>Online</v>
      </c>
      <c r="O826" t="str">
        <f>IF(Tabla22[[#This Row],[quantity]]&gt;=umbral_grande, "Grande", IF(Tabla22[[#This Row],[quantity]]&gt;=umbral_mediano,"Mediano", "Pequeño"))</f>
        <v>Grande</v>
      </c>
    </row>
    <row r="827" spans="2:15" x14ac:dyDescent="0.25">
      <c r="B827">
        <v>824</v>
      </c>
      <c r="C827" s="1">
        <v>44944</v>
      </c>
      <c r="D827" t="s">
        <v>14</v>
      </c>
      <c r="E827" t="s">
        <v>11</v>
      </c>
      <c r="F827">
        <v>20</v>
      </c>
      <c r="G827">
        <v>2</v>
      </c>
      <c r="H827">
        <v>40</v>
      </c>
      <c r="I827" t="s">
        <v>19</v>
      </c>
      <c r="J827" t="s">
        <v>22</v>
      </c>
      <c r="K827" t="s">
        <v>20</v>
      </c>
      <c r="L827">
        <f t="shared" si="36"/>
        <v>2023</v>
      </c>
      <c r="M827" s="13">
        <f t="shared" si="37"/>
        <v>44927</v>
      </c>
      <c r="N827" t="str">
        <f t="shared" si="38"/>
        <v>Online</v>
      </c>
      <c r="O827" t="str">
        <f>IF(Tabla22[[#This Row],[quantity]]&gt;=umbral_grande, "Grande", IF(Tabla22[[#This Row],[quantity]]&gt;=umbral_mediano,"Mediano", "Pequeño"))</f>
        <v>Pequeño</v>
      </c>
    </row>
    <row r="828" spans="2:15" x14ac:dyDescent="0.25">
      <c r="B828">
        <v>825</v>
      </c>
      <c r="C828" s="1">
        <v>44864</v>
      </c>
      <c r="D828" t="s">
        <v>21</v>
      </c>
      <c r="E828" t="s">
        <v>11</v>
      </c>
      <c r="F828">
        <v>20</v>
      </c>
      <c r="G828">
        <v>14</v>
      </c>
      <c r="H828">
        <v>280</v>
      </c>
      <c r="I828" t="s">
        <v>15</v>
      </c>
      <c r="J828" t="s">
        <v>22</v>
      </c>
      <c r="K828" t="s">
        <v>23</v>
      </c>
      <c r="L828">
        <f t="shared" si="36"/>
        <v>2022</v>
      </c>
      <c r="M828" s="13">
        <f t="shared" si="37"/>
        <v>44835</v>
      </c>
      <c r="N828" t="str">
        <f t="shared" si="38"/>
        <v>Cash</v>
      </c>
      <c r="O828" t="str">
        <f>IF(Tabla22[[#This Row],[quantity]]&gt;=umbral_grande, "Grande", IF(Tabla22[[#This Row],[quantity]]&gt;=umbral_mediano,"Mediano", "Pequeño"))</f>
        <v>Grande</v>
      </c>
    </row>
    <row r="829" spans="2:15" x14ac:dyDescent="0.25">
      <c r="B829">
        <v>826</v>
      </c>
      <c r="C829" s="1">
        <v>44897</v>
      </c>
      <c r="D829" t="s">
        <v>25</v>
      </c>
      <c r="E829" t="s">
        <v>11</v>
      </c>
      <c r="F829">
        <v>60</v>
      </c>
      <c r="G829">
        <v>15</v>
      </c>
      <c r="H829">
        <v>900</v>
      </c>
      <c r="I829" t="s">
        <v>15</v>
      </c>
      <c r="J829" t="s">
        <v>22</v>
      </c>
      <c r="K829" t="s">
        <v>13</v>
      </c>
      <c r="L829">
        <f t="shared" si="36"/>
        <v>2022</v>
      </c>
      <c r="M829" s="13">
        <f t="shared" si="37"/>
        <v>44896</v>
      </c>
      <c r="N829" t="str">
        <f t="shared" si="38"/>
        <v>Cash</v>
      </c>
      <c r="O829" t="str">
        <f>IF(Tabla22[[#This Row],[quantity]]&gt;=umbral_grande, "Grande", IF(Tabla22[[#This Row],[quantity]]&gt;=umbral_mediano,"Mediano", "Pequeño"))</f>
        <v>Grande</v>
      </c>
    </row>
    <row r="830" spans="2:15" x14ac:dyDescent="0.25">
      <c r="B830">
        <v>827</v>
      </c>
      <c r="C830" s="1">
        <v>44932</v>
      </c>
      <c r="D830" t="s">
        <v>25</v>
      </c>
      <c r="E830" t="s">
        <v>11</v>
      </c>
      <c r="F830">
        <v>60</v>
      </c>
      <c r="G830">
        <v>12</v>
      </c>
      <c r="H830">
        <v>720</v>
      </c>
      <c r="I830" t="s">
        <v>15</v>
      </c>
      <c r="J830" t="s">
        <v>12</v>
      </c>
      <c r="K830" t="s">
        <v>26</v>
      </c>
      <c r="L830">
        <f t="shared" si="36"/>
        <v>2023</v>
      </c>
      <c r="M830" s="13">
        <f t="shared" si="37"/>
        <v>44927</v>
      </c>
      <c r="N830" t="str">
        <f t="shared" si="38"/>
        <v>Cash</v>
      </c>
      <c r="O830" t="str">
        <f>IF(Tabla22[[#This Row],[quantity]]&gt;=umbral_grande, "Grande", IF(Tabla22[[#This Row],[quantity]]&gt;=umbral_mediano,"Mediano", "Pequeño"))</f>
        <v>Grande</v>
      </c>
    </row>
    <row r="831" spans="2:15" x14ac:dyDescent="0.25">
      <c r="B831">
        <v>828</v>
      </c>
      <c r="C831" s="1">
        <v>44791</v>
      </c>
      <c r="D831" t="s">
        <v>21</v>
      </c>
      <c r="E831" t="s">
        <v>11</v>
      </c>
      <c r="F831">
        <v>20</v>
      </c>
      <c r="G831">
        <v>6</v>
      </c>
      <c r="H831">
        <v>120</v>
      </c>
      <c r="I831" t="s">
        <v>15</v>
      </c>
      <c r="J831" t="s">
        <v>12</v>
      </c>
      <c r="K831" t="s">
        <v>20</v>
      </c>
      <c r="L831">
        <f t="shared" si="36"/>
        <v>2022</v>
      </c>
      <c r="M831" s="13">
        <f t="shared" si="37"/>
        <v>44774</v>
      </c>
      <c r="N831" t="str">
        <f t="shared" si="38"/>
        <v>Cash</v>
      </c>
      <c r="O831" t="str">
        <f>IF(Tabla22[[#This Row],[quantity]]&gt;=umbral_grande, "Grande", IF(Tabla22[[#This Row],[quantity]]&gt;=umbral_mediano,"Mediano", "Pequeño"))</f>
        <v>Mediano</v>
      </c>
    </row>
    <row r="832" spans="2:15" x14ac:dyDescent="0.25">
      <c r="B832">
        <v>829</v>
      </c>
      <c r="C832" s="1">
        <v>44823</v>
      </c>
      <c r="D832" t="s">
        <v>27</v>
      </c>
      <c r="E832" t="s">
        <v>18</v>
      </c>
      <c r="F832">
        <v>40</v>
      </c>
      <c r="G832">
        <v>6</v>
      </c>
      <c r="H832">
        <v>240</v>
      </c>
      <c r="I832" t="s">
        <v>15</v>
      </c>
      <c r="J832" t="s">
        <v>12</v>
      </c>
      <c r="K832" t="s">
        <v>13</v>
      </c>
      <c r="L832">
        <f t="shared" si="36"/>
        <v>2022</v>
      </c>
      <c r="M832" s="13">
        <f t="shared" si="37"/>
        <v>44805</v>
      </c>
      <c r="N832" t="str">
        <f t="shared" si="38"/>
        <v>Cash</v>
      </c>
      <c r="O832" t="str">
        <f>IF(Tabla22[[#This Row],[quantity]]&gt;=umbral_grande, "Grande", IF(Tabla22[[#This Row],[quantity]]&gt;=umbral_mediano,"Mediano", "Pequeño"))</f>
        <v>Mediano</v>
      </c>
    </row>
    <row r="833" spans="2:15" x14ac:dyDescent="0.25">
      <c r="B833">
        <v>830</v>
      </c>
      <c r="C833" s="1">
        <v>44893</v>
      </c>
      <c r="D833" t="s">
        <v>27</v>
      </c>
      <c r="E833" t="s">
        <v>18</v>
      </c>
      <c r="F833">
        <v>40</v>
      </c>
      <c r="G833">
        <v>9</v>
      </c>
      <c r="H833">
        <v>360</v>
      </c>
      <c r="J833" t="s">
        <v>12</v>
      </c>
      <c r="K833" t="s">
        <v>13</v>
      </c>
      <c r="L833">
        <f t="shared" si="36"/>
        <v>2022</v>
      </c>
      <c r="M833" s="13">
        <f t="shared" si="37"/>
        <v>44866</v>
      </c>
      <c r="N833" t="str">
        <f t="shared" si="38"/>
        <v>Sin registrar</v>
      </c>
      <c r="O833" t="str">
        <f>IF(Tabla22[[#This Row],[quantity]]&gt;=umbral_grande, "Grande", IF(Tabla22[[#This Row],[quantity]]&gt;=umbral_mediano,"Mediano", "Pequeño"))</f>
        <v>Mediano</v>
      </c>
    </row>
    <row r="834" spans="2:15" x14ac:dyDescent="0.25">
      <c r="B834">
        <v>831</v>
      </c>
      <c r="C834" s="1">
        <v>44774</v>
      </c>
      <c r="D834" t="s">
        <v>24</v>
      </c>
      <c r="E834" t="s">
        <v>11</v>
      </c>
      <c r="F834">
        <v>50</v>
      </c>
      <c r="G834">
        <v>5</v>
      </c>
      <c r="H834">
        <v>250</v>
      </c>
      <c r="I834" t="s">
        <v>19</v>
      </c>
      <c r="J834" t="s">
        <v>22</v>
      </c>
      <c r="K834" t="s">
        <v>23</v>
      </c>
      <c r="L834">
        <f t="shared" si="36"/>
        <v>2022</v>
      </c>
      <c r="M834" s="13">
        <f t="shared" si="37"/>
        <v>44774</v>
      </c>
      <c r="N834" t="str">
        <f t="shared" si="38"/>
        <v>Online</v>
      </c>
      <c r="O834" t="str">
        <f>IF(Tabla22[[#This Row],[quantity]]&gt;=umbral_grande, "Grande", IF(Tabla22[[#This Row],[quantity]]&gt;=umbral_mediano,"Mediano", "Pequeño"))</f>
        <v>Pequeño</v>
      </c>
    </row>
    <row r="835" spans="2:15" x14ac:dyDescent="0.25">
      <c r="B835">
        <v>832</v>
      </c>
      <c r="C835" s="1">
        <v>44718</v>
      </c>
      <c r="D835" t="s">
        <v>17</v>
      </c>
      <c r="E835" t="s">
        <v>18</v>
      </c>
      <c r="F835">
        <v>25</v>
      </c>
      <c r="G835">
        <v>4</v>
      </c>
      <c r="H835">
        <v>100</v>
      </c>
      <c r="I835" t="s">
        <v>15</v>
      </c>
      <c r="J835" t="s">
        <v>12</v>
      </c>
      <c r="K835" t="s">
        <v>23</v>
      </c>
      <c r="L835">
        <f t="shared" si="36"/>
        <v>2022</v>
      </c>
      <c r="M835" s="13">
        <f t="shared" si="37"/>
        <v>44713</v>
      </c>
      <c r="N835" t="str">
        <f t="shared" si="38"/>
        <v>Cash</v>
      </c>
      <c r="O835" t="str">
        <f>IF(Tabla22[[#This Row],[quantity]]&gt;=umbral_grande, "Grande", IF(Tabla22[[#This Row],[quantity]]&gt;=umbral_mediano,"Mediano", "Pequeño"))</f>
        <v>Pequeño</v>
      </c>
    </row>
    <row r="836" spans="2:15" x14ac:dyDescent="0.25">
      <c r="B836">
        <v>833</v>
      </c>
      <c r="C836" s="1">
        <v>44805</v>
      </c>
      <c r="D836" t="s">
        <v>21</v>
      </c>
      <c r="E836" t="s">
        <v>11</v>
      </c>
      <c r="F836">
        <v>20</v>
      </c>
      <c r="G836">
        <v>2</v>
      </c>
      <c r="H836">
        <v>40</v>
      </c>
      <c r="I836" t="s">
        <v>19</v>
      </c>
      <c r="J836" t="s">
        <v>22</v>
      </c>
      <c r="K836" t="s">
        <v>20</v>
      </c>
      <c r="L836">
        <f t="shared" si="36"/>
        <v>2022</v>
      </c>
      <c r="M836" s="13">
        <f t="shared" si="37"/>
        <v>44805</v>
      </c>
      <c r="N836" t="str">
        <f t="shared" si="38"/>
        <v>Online</v>
      </c>
      <c r="O836" t="str">
        <f>IF(Tabla22[[#This Row],[quantity]]&gt;=umbral_grande, "Grande", IF(Tabla22[[#This Row],[quantity]]&gt;=umbral_mediano,"Mediano", "Pequeño"))</f>
        <v>Pequeño</v>
      </c>
    </row>
    <row r="837" spans="2:15" x14ac:dyDescent="0.25">
      <c r="B837">
        <v>834</v>
      </c>
      <c r="C837" s="1">
        <v>44706</v>
      </c>
      <c r="D837" t="s">
        <v>17</v>
      </c>
      <c r="E837" t="s">
        <v>18</v>
      </c>
      <c r="F837">
        <v>25</v>
      </c>
      <c r="G837">
        <v>14</v>
      </c>
      <c r="H837">
        <v>350</v>
      </c>
      <c r="I837" t="s">
        <v>15</v>
      </c>
      <c r="J837" t="s">
        <v>12</v>
      </c>
      <c r="K837" t="s">
        <v>20</v>
      </c>
      <c r="L837">
        <f t="shared" ref="L837:L900" si="39">YEAR(C837)</f>
        <v>2022</v>
      </c>
      <c r="M837" s="13">
        <f t="shared" ref="M837:M900" si="40">DATE(YEAR(C837),MONTH(C837),1)</f>
        <v>44682</v>
      </c>
      <c r="N837" t="str">
        <f t="shared" ref="N837:N900" si="41">IF(I837 = "", "Sin registrar",I837)</f>
        <v>Cash</v>
      </c>
      <c r="O837" t="str">
        <f>IF(Tabla22[[#This Row],[quantity]]&gt;=umbral_grande, "Grande", IF(Tabla22[[#This Row],[quantity]]&gt;=umbral_mediano,"Mediano", "Pequeño"))</f>
        <v>Grande</v>
      </c>
    </row>
    <row r="838" spans="2:15" x14ac:dyDescent="0.25">
      <c r="B838">
        <v>835</v>
      </c>
      <c r="C838" s="1">
        <v>44831</v>
      </c>
      <c r="D838" t="s">
        <v>17</v>
      </c>
      <c r="E838" t="s">
        <v>18</v>
      </c>
      <c r="F838">
        <v>25</v>
      </c>
      <c r="G838">
        <v>7</v>
      </c>
      <c r="H838">
        <v>175</v>
      </c>
      <c r="I838" t="s">
        <v>19</v>
      </c>
      <c r="J838" t="s">
        <v>12</v>
      </c>
      <c r="K838" t="s">
        <v>16</v>
      </c>
      <c r="L838">
        <f t="shared" si="39"/>
        <v>2022</v>
      </c>
      <c r="M838" s="13">
        <f t="shared" si="40"/>
        <v>44805</v>
      </c>
      <c r="N838" t="str">
        <f t="shared" si="41"/>
        <v>Online</v>
      </c>
      <c r="O838" t="str">
        <f>IF(Tabla22[[#This Row],[quantity]]&gt;=umbral_grande, "Grande", IF(Tabla22[[#This Row],[quantity]]&gt;=umbral_mediano,"Mediano", "Pequeño"))</f>
        <v>Mediano</v>
      </c>
    </row>
    <row r="839" spans="2:15" x14ac:dyDescent="0.25">
      <c r="B839">
        <v>836</v>
      </c>
      <c r="C839" s="1">
        <v>44804</v>
      </c>
      <c r="D839" t="s">
        <v>14</v>
      </c>
      <c r="E839" t="s">
        <v>11</v>
      </c>
      <c r="F839">
        <v>20</v>
      </c>
      <c r="G839">
        <v>2</v>
      </c>
      <c r="H839">
        <v>40</v>
      </c>
      <c r="I839" t="s">
        <v>15</v>
      </c>
      <c r="J839" t="s">
        <v>22</v>
      </c>
      <c r="K839" t="s">
        <v>26</v>
      </c>
      <c r="L839">
        <f t="shared" si="39"/>
        <v>2022</v>
      </c>
      <c r="M839" s="13">
        <f t="shared" si="40"/>
        <v>44774</v>
      </c>
      <c r="N839" t="str">
        <f t="shared" si="41"/>
        <v>Cash</v>
      </c>
      <c r="O839" t="str">
        <f>IF(Tabla22[[#This Row],[quantity]]&gt;=umbral_grande, "Grande", IF(Tabla22[[#This Row],[quantity]]&gt;=umbral_mediano,"Mediano", "Pequeño"))</f>
        <v>Pequeño</v>
      </c>
    </row>
    <row r="840" spans="2:15" x14ac:dyDescent="0.25">
      <c r="B840">
        <v>837</v>
      </c>
      <c r="C840" s="1">
        <v>44700</v>
      </c>
      <c r="D840" t="s">
        <v>10</v>
      </c>
      <c r="E840" t="s">
        <v>11</v>
      </c>
      <c r="F840">
        <v>20</v>
      </c>
      <c r="G840">
        <v>7</v>
      </c>
      <c r="H840">
        <v>140</v>
      </c>
      <c r="I840" t="s">
        <v>15</v>
      </c>
      <c r="J840" t="s">
        <v>12</v>
      </c>
      <c r="K840" t="s">
        <v>26</v>
      </c>
      <c r="L840">
        <f t="shared" si="39"/>
        <v>2022</v>
      </c>
      <c r="M840" s="13">
        <f t="shared" si="40"/>
        <v>44682</v>
      </c>
      <c r="N840" t="str">
        <f t="shared" si="41"/>
        <v>Cash</v>
      </c>
      <c r="O840" t="str">
        <f>IF(Tabla22[[#This Row],[quantity]]&gt;=umbral_grande, "Grande", IF(Tabla22[[#This Row],[quantity]]&gt;=umbral_mediano,"Mediano", "Pequeño"))</f>
        <v>Mediano</v>
      </c>
    </row>
    <row r="841" spans="2:15" x14ac:dyDescent="0.25">
      <c r="B841">
        <v>838</v>
      </c>
      <c r="C841" s="1">
        <v>44773</v>
      </c>
      <c r="D841" t="s">
        <v>27</v>
      </c>
      <c r="E841" t="s">
        <v>18</v>
      </c>
      <c r="F841">
        <v>40</v>
      </c>
      <c r="G841">
        <v>9</v>
      </c>
      <c r="H841">
        <v>360</v>
      </c>
      <c r="I841" t="s">
        <v>19</v>
      </c>
      <c r="J841" t="s">
        <v>22</v>
      </c>
      <c r="K841" t="s">
        <v>23</v>
      </c>
      <c r="L841">
        <f t="shared" si="39"/>
        <v>2022</v>
      </c>
      <c r="M841" s="13">
        <f t="shared" si="40"/>
        <v>44743</v>
      </c>
      <c r="N841" t="str">
        <f t="shared" si="41"/>
        <v>Online</v>
      </c>
      <c r="O841" t="str">
        <f>IF(Tabla22[[#This Row],[quantity]]&gt;=umbral_grande, "Grande", IF(Tabla22[[#This Row],[quantity]]&gt;=umbral_mediano,"Mediano", "Pequeño"))</f>
        <v>Mediano</v>
      </c>
    </row>
    <row r="842" spans="2:15" x14ac:dyDescent="0.25">
      <c r="B842">
        <v>839</v>
      </c>
      <c r="C842" s="1">
        <v>44689</v>
      </c>
      <c r="D842" t="s">
        <v>17</v>
      </c>
      <c r="E842" t="s">
        <v>18</v>
      </c>
      <c r="F842">
        <v>25</v>
      </c>
      <c r="G842">
        <v>4</v>
      </c>
      <c r="H842">
        <v>100</v>
      </c>
      <c r="I842" t="s">
        <v>15</v>
      </c>
      <c r="J842" t="s">
        <v>22</v>
      </c>
      <c r="K842" t="s">
        <v>16</v>
      </c>
      <c r="L842">
        <f t="shared" si="39"/>
        <v>2022</v>
      </c>
      <c r="M842" s="13">
        <f t="shared" si="40"/>
        <v>44682</v>
      </c>
      <c r="N842" t="str">
        <f t="shared" si="41"/>
        <v>Cash</v>
      </c>
      <c r="O842" t="str">
        <f>IF(Tabla22[[#This Row],[quantity]]&gt;=umbral_grande, "Grande", IF(Tabla22[[#This Row],[quantity]]&gt;=umbral_mediano,"Mediano", "Pequeño"))</f>
        <v>Pequeño</v>
      </c>
    </row>
    <row r="843" spans="2:15" x14ac:dyDescent="0.25">
      <c r="B843">
        <v>840</v>
      </c>
      <c r="C843" s="1">
        <v>44975</v>
      </c>
      <c r="D843" t="s">
        <v>27</v>
      </c>
      <c r="E843" t="s">
        <v>18</v>
      </c>
      <c r="F843">
        <v>40</v>
      </c>
      <c r="G843">
        <v>15</v>
      </c>
      <c r="H843">
        <v>600</v>
      </c>
      <c r="J843" t="s">
        <v>22</v>
      </c>
      <c r="K843" t="s">
        <v>26</v>
      </c>
      <c r="L843">
        <f t="shared" si="39"/>
        <v>2023</v>
      </c>
      <c r="M843" s="13">
        <f t="shared" si="40"/>
        <v>44958</v>
      </c>
      <c r="N843" t="str">
        <f t="shared" si="41"/>
        <v>Sin registrar</v>
      </c>
      <c r="O843" t="str">
        <f>IF(Tabla22[[#This Row],[quantity]]&gt;=umbral_grande, "Grande", IF(Tabla22[[#This Row],[quantity]]&gt;=umbral_mediano,"Mediano", "Pequeño"))</f>
        <v>Grande</v>
      </c>
    </row>
    <row r="844" spans="2:15" x14ac:dyDescent="0.25">
      <c r="B844">
        <v>841</v>
      </c>
      <c r="C844" s="1">
        <v>44960</v>
      </c>
      <c r="D844" t="s">
        <v>14</v>
      </c>
      <c r="E844" t="s">
        <v>11</v>
      </c>
      <c r="F844">
        <v>20</v>
      </c>
      <c r="G844">
        <v>9</v>
      </c>
      <c r="H844">
        <v>180</v>
      </c>
      <c r="I844" t="s">
        <v>15</v>
      </c>
      <c r="J844" t="s">
        <v>12</v>
      </c>
      <c r="K844" t="s">
        <v>13</v>
      </c>
      <c r="L844">
        <f t="shared" si="39"/>
        <v>2023</v>
      </c>
      <c r="M844" s="13">
        <f t="shared" si="40"/>
        <v>44958</v>
      </c>
      <c r="N844" t="str">
        <f t="shared" si="41"/>
        <v>Cash</v>
      </c>
      <c r="O844" t="str">
        <f>IF(Tabla22[[#This Row],[quantity]]&gt;=umbral_grande, "Grande", IF(Tabla22[[#This Row],[quantity]]&gt;=umbral_mediano,"Mediano", "Pequeño"))</f>
        <v>Mediano</v>
      </c>
    </row>
    <row r="845" spans="2:15" x14ac:dyDescent="0.25">
      <c r="B845">
        <v>842</v>
      </c>
      <c r="C845" s="1">
        <v>44706</v>
      </c>
      <c r="D845" t="s">
        <v>21</v>
      </c>
      <c r="E845" t="s">
        <v>11</v>
      </c>
      <c r="F845">
        <v>20</v>
      </c>
      <c r="G845">
        <v>2</v>
      </c>
      <c r="H845">
        <v>40</v>
      </c>
      <c r="I845" t="s">
        <v>15</v>
      </c>
      <c r="J845" t="s">
        <v>22</v>
      </c>
      <c r="K845" t="s">
        <v>20</v>
      </c>
      <c r="L845">
        <f t="shared" si="39"/>
        <v>2022</v>
      </c>
      <c r="M845" s="13">
        <f t="shared" si="40"/>
        <v>44682</v>
      </c>
      <c r="N845" t="str">
        <f t="shared" si="41"/>
        <v>Cash</v>
      </c>
      <c r="O845" t="str">
        <f>IF(Tabla22[[#This Row],[quantity]]&gt;=umbral_grande, "Grande", IF(Tabla22[[#This Row],[quantity]]&gt;=umbral_mediano,"Mediano", "Pequeño"))</f>
        <v>Pequeño</v>
      </c>
    </row>
    <row r="846" spans="2:15" x14ac:dyDescent="0.25">
      <c r="B846">
        <v>843</v>
      </c>
      <c r="C846" s="1">
        <v>44746</v>
      </c>
      <c r="D846" t="s">
        <v>17</v>
      </c>
      <c r="E846" t="s">
        <v>18</v>
      </c>
      <c r="F846">
        <v>25</v>
      </c>
      <c r="G846">
        <v>1</v>
      </c>
      <c r="H846">
        <v>25</v>
      </c>
      <c r="I846" t="s">
        <v>15</v>
      </c>
      <c r="J846" t="s">
        <v>22</v>
      </c>
      <c r="K846" t="s">
        <v>23</v>
      </c>
      <c r="L846">
        <f t="shared" si="39"/>
        <v>2022</v>
      </c>
      <c r="M846" s="13">
        <f t="shared" si="40"/>
        <v>44743</v>
      </c>
      <c r="N846" t="str">
        <f t="shared" si="41"/>
        <v>Cash</v>
      </c>
      <c r="O846" t="str">
        <f>IF(Tabla22[[#This Row],[quantity]]&gt;=umbral_grande, "Grande", IF(Tabla22[[#This Row],[quantity]]&gt;=umbral_mediano,"Mediano", "Pequeño"))</f>
        <v>Pequeño</v>
      </c>
    </row>
    <row r="847" spans="2:15" x14ac:dyDescent="0.25">
      <c r="B847">
        <v>844</v>
      </c>
      <c r="C847" s="1">
        <v>44685</v>
      </c>
      <c r="D847" t="s">
        <v>17</v>
      </c>
      <c r="E847" t="s">
        <v>18</v>
      </c>
      <c r="F847">
        <v>25</v>
      </c>
      <c r="G847">
        <v>13</v>
      </c>
      <c r="H847">
        <v>325</v>
      </c>
      <c r="I847" t="s">
        <v>15</v>
      </c>
      <c r="J847" t="s">
        <v>12</v>
      </c>
      <c r="K847" t="s">
        <v>23</v>
      </c>
      <c r="L847">
        <f t="shared" si="39"/>
        <v>2022</v>
      </c>
      <c r="M847" s="13">
        <f t="shared" si="40"/>
        <v>44682</v>
      </c>
      <c r="N847" t="str">
        <f t="shared" si="41"/>
        <v>Cash</v>
      </c>
      <c r="O847" t="str">
        <f>IF(Tabla22[[#This Row],[quantity]]&gt;=umbral_grande, "Grande", IF(Tabla22[[#This Row],[quantity]]&gt;=umbral_mediano,"Mediano", "Pequeño"))</f>
        <v>Grande</v>
      </c>
    </row>
    <row r="848" spans="2:15" x14ac:dyDescent="0.25">
      <c r="B848">
        <v>845</v>
      </c>
      <c r="C848" s="1">
        <v>44743</v>
      </c>
      <c r="D848" t="s">
        <v>27</v>
      </c>
      <c r="E848" t="s">
        <v>18</v>
      </c>
      <c r="F848">
        <v>40</v>
      </c>
      <c r="G848">
        <v>6</v>
      </c>
      <c r="H848">
        <v>240</v>
      </c>
      <c r="I848" t="s">
        <v>19</v>
      </c>
      <c r="J848" t="s">
        <v>22</v>
      </c>
      <c r="K848" t="s">
        <v>20</v>
      </c>
      <c r="L848">
        <f t="shared" si="39"/>
        <v>2022</v>
      </c>
      <c r="M848" s="13">
        <f t="shared" si="40"/>
        <v>44743</v>
      </c>
      <c r="N848" t="str">
        <f t="shared" si="41"/>
        <v>Online</v>
      </c>
      <c r="O848" t="str">
        <f>IF(Tabla22[[#This Row],[quantity]]&gt;=umbral_grande, "Grande", IF(Tabla22[[#This Row],[quantity]]&gt;=umbral_mediano,"Mediano", "Pequeño"))</f>
        <v>Mediano</v>
      </c>
    </row>
    <row r="849" spans="2:15" x14ac:dyDescent="0.25">
      <c r="B849">
        <v>846</v>
      </c>
      <c r="C849" s="1">
        <v>44671</v>
      </c>
      <c r="D849" t="s">
        <v>10</v>
      </c>
      <c r="E849" t="s">
        <v>11</v>
      </c>
      <c r="F849">
        <v>20</v>
      </c>
      <c r="G849">
        <v>5</v>
      </c>
      <c r="H849">
        <v>100</v>
      </c>
      <c r="I849" t="s">
        <v>19</v>
      </c>
      <c r="J849" t="s">
        <v>12</v>
      </c>
      <c r="K849" t="s">
        <v>16</v>
      </c>
      <c r="L849">
        <f t="shared" si="39"/>
        <v>2022</v>
      </c>
      <c r="M849" s="13">
        <f t="shared" si="40"/>
        <v>44652</v>
      </c>
      <c r="N849" t="str">
        <f t="shared" si="41"/>
        <v>Online</v>
      </c>
      <c r="O849" t="str">
        <f>IF(Tabla22[[#This Row],[quantity]]&gt;=umbral_grande, "Grande", IF(Tabla22[[#This Row],[quantity]]&gt;=umbral_mediano,"Mediano", "Pequeño"))</f>
        <v>Pequeño</v>
      </c>
    </row>
    <row r="850" spans="2:15" x14ac:dyDescent="0.25">
      <c r="B850">
        <v>847</v>
      </c>
      <c r="C850" s="1">
        <v>44787</v>
      </c>
      <c r="D850" t="s">
        <v>21</v>
      </c>
      <c r="E850" t="s">
        <v>11</v>
      </c>
      <c r="F850">
        <v>20</v>
      </c>
      <c r="G850">
        <v>11</v>
      </c>
      <c r="H850">
        <v>220</v>
      </c>
      <c r="I850" t="s">
        <v>19</v>
      </c>
      <c r="J850" t="s">
        <v>12</v>
      </c>
      <c r="K850" t="s">
        <v>26</v>
      </c>
      <c r="L850">
        <f t="shared" si="39"/>
        <v>2022</v>
      </c>
      <c r="M850" s="13">
        <f t="shared" si="40"/>
        <v>44774</v>
      </c>
      <c r="N850" t="str">
        <f t="shared" si="41"/>
        <v>Online</v>
      </c>
      <c r="O850" t="str">
        <f>IF(Tabla22[[#This Row],[quantity]]&gt;=umbral_grande, "Grande", IF(Tabla22[[#This Row],[quantity]]&gt;=umbral_mediano,"Mediano", "Pequeño"))</f>
        <v>Grande</v>
      </c>
    </row>
    <row r="851" spans="2:15" x14ac:dyDescent="0.25">
      <c r="B851">
        <v>848</v>
      </c>
      <c r="C851" s="1">
        <v>44875</v>
      </c>
      <c r="D851" t="s">
        <v>24</v>
      </c>
      <c r="E851" t="s">
        <v>11</v>
      </c>
      <c r="F851">
        <v>50</v>
      </c>
      <c r="G851">
        <v>9</v>
      </c>
      <c r="H851">
        <v>450</v>
      </c>
      <c r="I851" t="s">
        <v>15</v>
      </c>
      <c r="J851" t="s">
        <v>12</v>
      </c>
      <c r="K851" t="s">
        <v>13</v>
      </c>
      <c r="L851">
        <f t="shared" si="39"/>
        <v>2022</v>
      </c>
      <c r="M851" s="13">
        <f t="shared" si="40"/>
        <v>44866</v>
      </c>
      <c r="N851" t="str">
        <f t="shared" si="41"/>
        <v>Cash</v>
      </c>
      <c r="O851" t="str">
        <f>IF(Tabla22[[#This Row],[quantity]]&gt;=umbral_grande, "Grande", IF(Tabla22[[#This Row],[quantity]]&gt;=umbral_mediano,"Mediano", "Pequeño"))</f>
        <v>Mediano</v>
      </c>
    </row>
    <row r="852" spans="2:15" x14ac:dyDescent="0.25">
      <c r="B852">
        <v>849</v>
      </c>
      <c r="C852" s="1">
        <v>44868</v>
      </c>
      <c r="D852" t="s">
        <v>27</v>
      </c>
      <c r="E852" t="s">
        <v>18</v>
      </c>
      <c r="F852">
        <v>40</v>
      </c>
      <c r="G852">
        <v>10</v>
      </c>
      <c r="H852">
        <v>400</v>
      </c>
      <c r="I852" t="s">
        <v>15</v>
      </c>
      <c r="J852" t="s">
        <v>22</v>
      </c>
      <c r="K852" t="s">
        <v>13</v>
      </c>
      <c r="L852">
        <f t="shared" si="39"/>
        <v>2022</v>
      </c>
      <c r="M852" s="13">
        <f t="shared" si="40"/>
        <v>44866</v>
      </c>
      <c r="N852" t="str">
        <f t="shared" si="41"/>
        <v>Cash</v>
      </c>
      <c r="O852" t="str">
        <f>IF(Tabla22[[#This Row],[quantity]]&gt;=umbral_grande, "Grande", IF(Tabla22[[#This Row],[quantity]]&gt;=umbral_mediano,"Mediano", "Pequeño"))</f>
        <v>Mediano</v>
      </c>
    </row>
    <row r="853" spans="2:15" x14ac:dyDescent="0.25">
      <c r="B853">
        <v>850</v>
      </c>
      <c r="C853" s="1">
        <v>44793</v>
      </c>
      <c r="D853" t="s">
        <v>14</v>
      </c>
      <c r="E853" t="s">
        <v>11</v>
      </c>
      <c r="F853">
        <v>20</v>
      </c>
      <c r="G853">
        <v>3</v>
      </c>
      <c r="H853">
        <v>60</v>
      </c>
      <c r="I853" t="s">
        <v>19</v>
      </c>
      <c r="J853" t="s">
        <v>22</v>
      </c>
      <c r="K853" t="s">
        <v>16</v>
      </c>
      <c r="L853">
        <f t="shared" si="39"/>
        <v>2022</v>
      </c>
      <c r="M853" s="13">
        <f t="shared" si="40"/>
        <v>44774</v>
      </c>
      <c r="N853" t="str">
        <f t="shared" si="41"/>
        <v>Online</v>
      </c>
      <c r="O853" t="str">
        <f>IF(Tabla22[[#This Row],[quantity]]&gt;=umbral_grande, "Grande", IF(Tabla22[[#This Row],[quantity]]&gt;=umbral_mediano,"Mediano", "Pequeño"))</f>
        <v>Pequeño</v>
      </c>
    </row>
    <row r="854" spans="2:15" x14ac:dyDescent="0.25">
      <c r="B854">
        <v>851</v>
      </c>
      <c r="C854" s="1">
        <v>44954</v>
      </c>
      <c r="D854" t="s">
        <v>10</v>
      </c>
      <c r="E854" t="s">
        <v>11</v>
      </c>
      <c r="F854">
        <v>20</v>
      </c>
      <c r="G854">
        <v>15</v>
      </c>
      <c r="H854">
        <v>300</v>
      </c>
      <c r="I854" t="s">
        <v>19</v>
      </c>
      <c r="J854" t="s">
        <v>22</v>
      </c>
      <c r="K854" t="s">
        <v>13</v>
      </c>
      <c r="L854">
        <f t="shared" si="39"/>
        <v>2023</v>
      </c>
      <c r="M854" s="13">
        <f t="shared" si="40"/>
        <v>44927</v>
      </c>
      <c r="N854" t="str">
        <f t="shared" si="41"/>
        <v>Online</v>
      </c>
      <c r="O854" t="str">
        <f>IF(Tabla22[[#This Row],[quantity]]&gt;=umbral_grande, "Grande", IF(Tabla22[[#This Row],[quantity]]&gt;=umbral_mediano,"Mediano", "Pequeño"))</f>
        <v>Grande</v>
      </c>
    </row>
    <row r="855" spans="2:15" x14ac:dyDescent="0.25">
      <c r="B855">
        <v>852</v>
      </c>
      <c r="C855" s="1">
        <v>44686</v>
      </c>
      <c r="D855" t="s">
        <v>17</v>
      </c>
      <c r="E855" t="s">
        <v>18</v>
      </c>
      <c r="F855">
        <v>25</v>
      </c>
      <c r="G855">
        <v>8</v>
      </c>
      <c r="H855">
        <v>200</v>
      </c>
      <c r="I855" t="s">
        <v>19</v>
      </c>
      <c r="J855" t="s">
        <v>12</v>
      </c>
      <c r="K855" t="s">
        <v>13</v>
      </c>
      <c r="L855">
        <f t="shared" si="39"/>
        <v>2022</v>
      </c>
      <c r="M855" s="13">
        <f t="shared" si="40"/>
        <v>44682</v>
      </c>
      <c r="N855" t="str">
        <f t="shared" si="41"/>
        <v>Online</v>
      </c>
      <c r="O855" t="str">
        <f>IF(Tabla22[[#This Row],[quantity]]&gt;=umbral_grande, "Grande", IF(Tabla22[[#This Row],[quantity]]&gt;=umbral_mediano,"Mediano", "Pequeño"))</f>
        <v>Mediano</v>
      </c>
    </row>
    <row r="856" spans="2:15" x14ac:dyDescent="0.25">
      <c r="B856">
        <v>853</v>
      </c>
      <c r="C856" s="1">
        <v>44974</v>
      </c>
      <c r="D856" t="s">
        <v>27</v>
      </c>
      <c r="E856" t="s">
        <v>18</v>
      </c>
      <c r="F856">
        <v>40</v>
      </c>
      <c r="G856">
        <v>3</v>
      </c>
      <c r="H856">
        <v>120</v>
      </c>
      <c r="I856" t="s">
        <v>19</v>
      </c>
      <c r="J856" t="s">
        <v>22</v>
      </c>
      <c r="K856" t="s">
        <v>26</v>
      </c>
      <c r="L856">
        <f t="shared" si="39"/>
        <v>2023</v>
      </c>
      <c r="M856" s="13">
        <f t="shared" si="40"/>
        <v>44958</v>
      </c>
      <c r="N856" t="str">
        <f t="shared" si="41"/>
        <v>Online</v>
      </c>
      <c r="O856" t="str">
        <f>IF(Tabla22[[#This Row],[quantity]]&gt;=umbral_grande, "Grande", IF(Tabla22[[#This Row],[quantity]]&gt;=umbral_mediano,"Mediano", "Pequeño"))</f>
        <v>Pequeño</v>
      </c>
    </row>
    <row r="857" spans="2:15" x14ac:dyDescent="0.25">
      <c r="B857">
        <v>854</v>
      </c>
      <c r="C857" s="1">
        <v>44848</v>
      </c>
      <c r="D857" t="s">
        <v>27</v>
      </c>
      <c r="E857" t="s">
        <v>18</v>
      </c>
      <c r="F857">
        <v>40</v>
      </c>
      <c r="G857">
        <v>14</v>
      </c>
      <c r="H857">
        <v>560</v>
      </c>
      <c r="I857" t="s">
        <v>19</v>
      </c>
      <c r="J857" t="s">
        <v>22</v>
      </c>
      <c r="K857" t="s">
        <v>13</v>
      </c>
      <c r="L857">
        <f t="shared" si="39"/>
        <v>2022</v>
      </c>
      <c r="M857" s="13">
        <f t="shared" si="40"/>
        <v>44835</v>
      </c>
      <c r="N857" t="str">
        <f t="shared" si="41"/>
        <v>Online</v>
      </c>
      <c r="O857" t="str">
        <f>IF(Tabla22[[#This Row],[quantity]]&gt;=umbral_grande, "Grande", IF(Tabla22[[#This Row],[quantity]]&gt;=umbral_mediano,"Mediano", "Pequeño"))</f>
        <v>Grande</v>
      </c>
    </row>
    <row r="858" spans="2:15" x14ac:dyDescent="0.25">
      <c r="B858">
        <v>855</v>
      </c>
      <c r="C858" s="1">
        <v>44857</v>
      </c>
      <c r="D858" t="s">
        <v>14</v>
      </c>
      <c r="E858" t="s">
        <v>11</v>
      </c>
      <c r="F858">
        <v>20</v>
      </c>
      <c r="G858">
        <v>5</v>
      </c>
      <c r="H858">
        <v>100</v>
      </c>
      <c r="I858" t="s">
        <v>19</v>
      </c>
      <c r="J858" t="s">
        <v>12</v>
      </c>
      <c r="K858" t="s">
        <v>20</v>
      </c>
      <c r="L858">
        <f t="shared" si="39"/>
        <v>2022</v>
      </c>
      <c r="M858" s="13">
        <f t="shared" si="40"/>
        <v>44835</v>
      </c>
      <c r="N858" t="str">
        <f t="shared" si="41"/>
        <v>Online</v>
      </c>
      <c r="O858" t="str">
        <f>IF(Tabla22[[#This Row],[quantity]]&gt;=umbral_grande, "Grande", IF(Tabla22[[#This Row],[quantity]]&gt;=umbral_mediano,"Mediano", "Pequeño"))</f>
        <v>Pequeño</v>
      </c>
    </row>
    <row r="859" spans="2:15" x14ac:dyDescent="0.25">
      <c r="B859">
        <v>856</v>
      </c>
      <c r="C859" s="1">
        <v>44685</v>
      </c>
      <c r="D859" t="s">
        <v>10</v>
      </c>
      <c r="E859" t="s">
        <v>11</v>
      </c>
      <c r="F859">
        <v>20</v>
      </c>
      <c r="G859">
        <v>11</v>
      </c>
      <c r="H859">
        <v>220</v>
      </c>
      <c r="I859" t="s">
        <v>15</v>
      </c>
      <c r="J859" t="s">
        <v>22</v>
      </c>
      <c r="K859" t="s">
        <v>13</v>
      </c>
      <c r="L859">
        <f t="shared" si="39"/>
        <v>2022</v>
      </c>
      <c r="M859" s="13">
        <f t="shared" si="40"/>
        <v>44682</v>
      </c>
      <c r="N859" t="str">
        <f t="shared" si="41"/>
        <v>Cash</v>
      </c>
      <c r="O859" t="str">
        <f>IF(Tabla22[[#This Row],[quantity]]&gt;=umbral_grande, "Grande", IF(Tabla22[[#This Row],[quantity]]&gt;=umbral_mediano,"Mediano", "Pequeño"))</f>
        <v>Grande</v>
      </c>
    </row>
    <row r="860" spans="2:15" x14ac:dyDescent="0.25">
      <c r="B860">
        <v>857</v>
      </c>
      <c r="C860" s="1">
        <v>44873</v>
      </c>
      <c r="D860" t="s">
        <v>17</v>
      </c>
      <c r="E860" t="s">
        <v>18</v>
      </c>
      <c r="F860">
        <v>25</v>
      </c>
      <c r="G860">
        <v>14</v>
      </c>
      <c r="H860">
        <v>350</v>
      </c>
      <c r="I860" t="s">
        <v>19</v>
      </c>
      <c r="J860" t="s">
        <v>22</v>
      </c>
      <c r="K860" t="s">
        <v>20</v>
      </c>
      <c r="L860">
        <f t="shared" si="39"/>
        <v>2022</v>
      </c>
      <c r="M860" s="13">
        <f t="shared" si="40"/>
        <v>44866</v>
      </c>
      <c r="N860" t="str">
        <f t="shared" si="41"/>
        <v>Online</v>
      </c>
      <c r="O860" t="str">
        <f>IF(Tabla22[[#This Row],[quantity]]&gt;=umbral_grande, "Grande", IF(Tabla22[[#This Row],[quantity]]&gt;=umbral_mediano,"Mediano", "Pequeño"))</f>
        <v>Grande</v>
      </c>
    </row>
    <row r="861" spans="2:15" x14ac:dyDescent="0.25">
      <c r="B861">
        <v>858</v>
      </c>
      <c r="C861" s="1">
        <v>44887</v>
      </c>
      <c r="D861" t="s">
        <v>27</v>
      </c>
      <c r="E861" t="s">
        <v>18</v>
      </c>
      <c r="F861">
        <v>40</v>
      </c>
      <c r="G861">
        <v>9</v>
      </c>
      <c r="H861">
        <v>360</v>
      </c>
      <c r="I861" t="s">
        <v>15</v>
      </c>
      <c r="J861" t="s">
        <v>12</v>
      </c>
      <c r="K861" t="s">
        <v>20</v>
      </c>
      <c r="L861">
        <f t="shared" si="39"/>
        <v>2022</v>
      </c>
      <c r="M861" s="13">
        <f t="shared" si="40"/>
        <v>44866</v>
      </c>
      <c r="N861" t="str">
        <f t="shared" si="41"/>
        <v>Cash</v>
      </c>
      <c r="O861" t="str">
        <f>IF(Tabla22[[#This Row],[quantity]]&gt;=umbral_grande, "Grande", IF(Tabla22[[#This Row],[quantity]]&gt;=umbral_mediano,"Mediano", "Pequeño"))</f>
        <v>Mediano</v>
      </c>
    </row>
    <row r="862" spans="2:15" x14ac:dyDescent="0.25">
      <c r="B862">
        <v>859</v>
      </c>
      <c r="C862" s="1">
        <v>44842</v>
      </c>
      <c r="D862" t="s">
        <v>25</v>
      </c>
      <c r="E862" t="s">
        <v>11</v>
      </c>
      <c r="F862">
        <v>60</v>
      </c>
      <c r="G862">
        <v>11</v>
      </c>
      <c r="H862">
        <v>660</v>
      </c>
      <c r="I862" t="s">
        <v>15</v>
      </c>
      <c r="J862" t="s">
        <v>22</v>
      </c>
      <c r="K862" t="s">
        <v>26</v>
      </c>
      <c r="L862">
        <f t="shared" si="39"/>
        <v>2022</v>
      </c>
      <c r="M862" s="13">
        <f t="shared" si="40"/>
        <v>44835</v>
      </c>
      <c r="N862" t="str">
        <f t="shared" si="41"/>
        <v>Cash</v>
      </c>
      <c r="O862" t="str">
        <f>IF(Tabla22[[#This Row],[quantity]]&gt;=umbral_grande, "Grande", IF(Tabla22[[#This Row],[quantity]]&gt;=umbral_mediano,"Mediano", "Pequeño"))</f>
        <v>Grande</v>
      </c>
    </row>
    <row r="863" spans="2:15" x14ac:dyDescent="0.25">
      <c r="B863">
        <v>860</v>
      </c>
      <c r="C863" s="1">
        <v>44758</v>
      </c>
      <c r="D863" t="s">
        <v>27</v>
      </c>
      <c r="E863" t="s">
        <v>18</v>
      </c>
      <c r="F863">
        <v>40</v>
      </c>
      <c r="G863">
        <v>5</v>
      </c>
      <c r="H863">
        <v>200</v>
      </c>
      <c r="I863" t="s">
        <v>15</v>
      </c>
      <c r="J863" t="s">
        <v>12</v>
      </c>
      <c r="K863" t="s">
        <v>13</v>
      </c>
      <c r="L863">
        <f t="shared" si="39"/>
        <v>2022</v>
      </c>
      <c r="M863" s="13">
        <f t="shared" si="40"/>
        <v>44743</v>
      </c>
      <c r="N863" t="str">
        <f t="shared" si="41"/>
        <v>Cash</v>
      </c>
      <c r="O863" t="str">
        <f>IF(Tabla22[[#This Row],[quantity]]&gt;=umbral_grande, "Grande", IF(Tabla22[[#This Row],[quantity]]&gt;=umbral_mediano,"Mediano", "Pequeño"))</f>
        <v>Pequeño</v>
      </c>
    </row>
    <row r="864" spans="2:15" x14ac:dyDescent="0.25">
      <c r="B864">
        <v>861</v>
      </c>
      <c r="C864" s="1">
        <v>44950</v>
      </c>
      <c r="D864" t="s">
        <v>17</v>
      </c>
      <c r="E864" t="s">
        <v>18</v>
      </c>
      <c r="F864">
        <v>25</v>
      </c>
      <c r="G864">
        <v>8</v>
      </c>
      <c r="H864">
        <v>200</v>
      </c>
      <c r="I864" t="s">
        <v>15</v>
      </c>
      <c r="J864" t="s">
        <v>22</v>
      </c>
      <c r="K864" t="s">
        <v>13</v>
      </c>
      <c r="L864">
        <f t="shared" si="39"/>
        <v>2023</v>
      </c>
      <c r="M864" s="13">
        <f t="shared" si="40"/>
        <v>44927</v>
      </c>
      <c r="N864" t="str">
        <f t="shared" si="41"/>
        <v>Cash</v>
      </c>
      <c r="O864" t="str">
        <f>IF(Tabla22[[#This Row],[quantity]]&gt;=umbral_grande, "Grande", IF(Tabla22[[#This Row],[quantity]]&gt;=umbral_mediano,"Mediano", "Pequeño"))</f>
        <v>Mediano</v>
      </c>
    </row>
    <row r="865" spans="2:15" x14ac:dyDescent="0.25">
      <c r="B865">
        <v>862</v>
      </c>
      <c r="C865" s="1">
        <v>44995</v>
      </c>
      <c r="D865" t="s">
        <v>24</v>
      </c>
      <c r="E865" t="s">
        <v>11</v>
      </c>
      <c r="F865">
        <v>50</v>
      </c>
      <c r="G865">
        <v>7</v>
      </c>
      <c r="H865">
        <v>350</v>
      </c>
      <c r="I865" t="s">
        <v>19</v>
      </c>
      <c r="J865" t="s">
        <v>12</v>
      </c>
      <c r="K865" t="s">
        <v>13</v>
      </c>
      <c r="L865">
        <f t="shared" si="39"/>
        <v>2023</v>
      </c>
      <c r="M865" s="13">
        <f t="shared" si="40"/>
        <v>44986</v>
      </c>
      <c r="N865" t="str">
        <f t="shared" si="41"/>
        <v>Online</v>
      </c>
      <c r="O865" t="str">
        <f>IF(Tabla22[[#This Row],[quantity]]&gt;=umbral_grande, "Grande", IF(Tabla22[[#This Row],[quantity]]&gt;=umbral_mediano,"Mediano", "Pequeño"))</f>
        <v>Mediano</v>
      </c>
    </row>
    <row r="866" spans="2:15" x14ac:dyDescent="0.25">
      <c r="B866">
        <v>863</v>
      </c>
      <c r="C866" s="1">
        <v>44812</v>
      </c>
      <c r="D866" t="s">
        <v>24</v>
      </c>
      <c r="E866" t="s">
        <v>11</v>
      </c>
      <c r="F866">
        <v>50</v>
      </c>
      <c r="G866">
        <v>9</v>
      </c>
      <c r="H866">
        <v>450</v>
      </c>
      <c r="I866" t="s">
        <v>19</v>
      </c>
      <c r="J866" t="s">
        <v>12</v>
      </c>
      <c r="K866" t="s">
        <v>13</v>
      </c>
      <c r="L866">
        <f t="shared" si="39"/>
        <v>2022</v>
      </c>
      <c r="M866" s="13">
        <f t="shared" si="40"/>
        <v>44805</v>
      </c>
      <c r="N866" t="str">
        <f t="shared" si="41"/>
        <v>Online</v>
      </c>
      <c r="O866" t="str">
        <f>IF(Tabla22[[#This Row],[quantity]]&gt;=umbral_grande, "Grande", IF(Tabla22[[#This Row],[quantity]]&gt;=umbral_mediano,"Mediano", "Pequeño"))</f>
        <v>Mediano</v>
      </c>
    </row>
    <row r="867" spans="2:15" x14ac:dyDescent="0.25">
      <c r="B867">
        <v>864</v>
      </c>
      <c r="C867" s="1">
        <v>44793</v>
      </c>
      <c r="D867" t="s">
        <v>27</v>
      </c>
      <c r="E867" t="s">
        <v>18</v>
      </c>
      <c r="F867">
        <v>40</v>
      </c>
      <c r="G867">
        <v>9</v>
      </c>
      <c r="H867">
        <v>360</v>
      </c>
      <c r="I867" t="s">
        <v>19</v>
      </c>
      <c r="J867" t="s">
        <v>12</v>
      </c>
      <c r="K867" t="s">
        <v>23</v>
      </c>
      <c r="L867">
        <f t="shared" si="39"/>
        <v>2022</v>
      </c>
      <c r="M867" s="13">
        <f t="shared" si="40"/>
        <v>44774</v>
      </c>
      <c r="N867" t="str">
        <f t="shared" si="41"/>
        <v>Online</v>
      </c>
      <c r="O867" t="str">
        <f>IF(Tabla22[[#This Row],[quantity]]&gt;=umbral_grande, "Grande", IF(Tabla22[[#This Row],[quantity]]&gt;=umbral_mediano,"Mediano", "Pequeño"))</f>
        <v>Mediano</v>
      </c>
    </row>
    <row r="868" spans="2:15" x14ac:dyDescent="0.25">
      <c r="B868">
        <v>865</v>
      </c>
      <c r="C868" s="1">
        <v>44949</v>
      </c>
      <c r="D868" t="s">
        <v>17</v>
      </c>
      <c r="E868" t="s">
        <v>18</v>
      </c>
      <c r="F868">
        <v>25</v>
      </c>
      <c r="G868">
        <v>6</v>
      </c>
      <c r="H868">
        <v>150</v>
      </c>
      <c r="I868" t="s">
        <v>15</v>
      </c>
      <c r="J868" t="s">
        <v>22</v>
      </c>
      <c r="K868" t="s">
        <v>13</v>
      </c>
      <c r="L868">
        <f t="shared" si="39"/>
        <v>2023</v>
      </c>
      <c r="M868" s="13">
        <f t="shared" si="40"/>
        <v>44927</v>
      </c>
      <c r="N868" t="str">
        <f t="shared" si="41"/>
        <v>Cash</v>
      </c>
      <c r="O868" t="str">
        <f>IF(Tabla22[[#This Row],[quantity]]&gt;=umbral_grande, "Grande", IF(Tabla22[[#This Row],[quantity]]&gt;=umbral_mediano,"Mediano", "Pequeño"))</f>
        <v>Mediano</v>
      </c>
    </row>
    <row r="869" spans="2:15" x14ac:dyDescent="0.25">
      <c r="B869">
        <v>866</v>
      </c>
      <c r="C869" s="1">
        <v>44786</v>
      </c>
      <c r="D869" t="s">
        <v>24</v>
      </c>
      <c r="E869" t="s">
        <v>11</v>
      </c>
      <c r="F869">
        <v>50</v>
      </c>
      <c r="G869">
        <v>10</v>
      </c>
      <c r="H869">
        <v>500</v>
      </c>
      <c r="I869" t="s">
        <v>19</v>
      </c>
      <c r="J869" t="s">
        <v>12</v>
      </c>
      <c r="K869" t="s">
        <v>26</v>
      </c>
      <c r="L869">
        <f t="shared" si="39"/>
        <v>2022</v>
      </c>
      <c r="M869" s="13">
        <f t="shared" si="40"/>
        <v>44774</v>
      </c>
      <c r="N869" t="str">
        <f t="shared" si="41"/>
        <v>Online</v>
      </c>
      <c r="O869" t="str">
        <f>IF(Tabla22[[#This Row],[quantity]]&gt;=umbral_grande, "Grande", IF(Tabla22[[#This Row],[quantity]]&gt;=umbral_mediano,"Mediano", "Pequeño"))</f>
        <v>Mediano</v>
      </c>
    </row>
    <row r="870" spans="2:15" x14ac:dyDescent="0.25">
      <c r="B870">
        <v>867</v>
      </c>
      <c r="C870" s="1">
        <v>44952</v>
      </c>
      <c r="D870" t="s">
        <v>24</v>
      </c>
      <c r="E870" t="s">
        <v>11</v>
      </c>
      <c r="F870">
        <v>50</v>
      </c>
      <c r="G870">
        <v>15</v>
      </c>
      <c r="H870">
        <v>750</v>
      </c>
      <c r="I870" t="s">
        <v>15</v>
      </c>
      <c r="J870" t="s">
        <v>12</v>
      </c>
      <c r="K870" t="s">
        <v>26</v>
      </c>
      <c r="L870">
        <f t="shared" si="39"/>
        <v>2023</v>
      </c>
      <c r="M870" s="13">
        <f t="shared" si="40"/>
        <v>44927</v>
      </c>
      <c r="N870" t="str">
        <f t="shared" si="41"/>
        <v>Cash</v>
      </c>
      <c r="O870" t="str">
        <f>IF(Tabla22[[#This Row],[quantity]]&gt;=umbral_grande, "Grande", IF(Tabla22[[#This Row],[quantity]]&gt;=umbral_mediano,"Mediano", "Pequeño"))</f>
        <v>Grande</v>
      </c>
    </row>
    <row r="871" spans="2:15" x14ac:dyDescent="0.25">
      <c r="B871">
        <v>868</v>
      </c>
      <c r="C871" s="1">
        <v>44790</v>
      </c>
      <c r="D871" t="s">
        <v>10</v>
      </c>
      <c r="E871" t="s">
        <v>11</v>
      </c>
      <c r="F871">
        <v>20</v>
      </c>
      <c r="G871">
        <v>13</v>
      </c>
      <c r="H871">
        <v>260</v>
      </c>
      <c r="I871" t="s">
        <v>15</v>
      </c>
      <c r="J871" t="s">
        <v>22</v>
      </c>
      <c r="K871" t="s">
        <v>20</v>
      </c>
      <c r="L871">
        <f t="shared" si="39"/>
        <v>2022</v>
      </c>
      <c r="M871" s="13">
        <f t="shared" si="40"/>
        <v>44774</v>
      </c>
      <c r="N871" t="str">
        <f t="shared" si="41"/>
        <v>Cash</v>
      </c>
      <c r="O871" t="str">
        <f>IF(Tabla22[[#This Row],[quantity]]&gt;=umbral_grande, "Grande", IF(Tabla22[[#This Row],[quantity]]&gt;=umbral_mediano,"Mediano", "Pequeño"))</f>
        <v>Grande</v>
      </c>
    </row>
    <row r="872" spans="2:15" x14ac:dyDescent="0.25">
      <c r="B872">
        <v>869</v>
      </c>
      <c r="C872" s="1">
        <v>44738</v>
      </c>
      <c r="D872" t="s">
        <v>21</v>
      </c>
      <c r="E872" t="s">
        <v>11</v>
      </c>
      <c r="F872">
        <v>20</v>
      </c>
      <c r="G872">
        <v>9</v>
      </c>
      <c r="H872">
        <v>180</v>
      </c>
      <c r="I872" t="s">
        <v>19</v>
      </c>
      <c r="J872" t="s">
        <v>12</v>
      </c>
      <c r="K872" t="s">
        <v>26</v>
      </c>
      <c r="L872">
        <f t="shared" si="39"/>
        <v>2022</v>
      </c>
      <c r="M872" s="13">
        <f t="shared" si="40"/>
        <v>44713</v>
      </c>
      <c r="N872" t="str">
        <f t="shared" si="41"/>
        <v>Online</v>
      </c>
      <c r="O872" t="str">
        <f>IF(Tabla22[[#This Row],[quantity]]&gt;=umbral_grande, "Grande", IF(Tabla22[[#This Row],[quantity]]&gt;=umbral_mediano,"Mediano", "Pequeño"))</f>
        <v>Mediano</v>
      </c>
    </row>
    <row r="873" spans="2:15" x14ac:dyDescent="0.25">
      <c r="B873">
        <v>870</v>
      </c>
      <c r="C873" s="1">
        <v>44865</v>
      </c>
      <c r="D873" t="s">
        <v>27</v>
      </c>
      <c r="E873" t="s">
        <v>18</v>
      </c>
      <c r="F873">
        <v>40</v>
      </c>
      <c r="G873">
        <v>5</v>
      </c>
      <c r="H873">
        <v>200</v>
      </c>
      <c r="I873" t="s">
        <v>19</v>
      </c>
      <c r="J873" t="s">
        <v>22</v>
      </c>
      <c r="K873" t="s">
        <v>16</v>
      </c>
      <c r="L873">
        <f t="shared" si="39"/>
        <v>2022</v>
      </c>
      <c r="M873" s="13">
        <f t="shared" si="40"/>
        <v>44835</v>
      </c>
      <c r="N873" t="str">
        <f t="shared" si="41"/>
        <v>Online</v>
      </c>
      <c r="O873" t="str">
        <f>IF(Tabla22[[#This Row],[quantity]]&gt;=umbral_grande, "Grande", IF(Tabla22[[#This Row],[quantity]]&gt;=umbral_mediano,"Mediano", "Pequeño"))</f>
        <v>Pequeño</v>
      </c>
    </row>
    <row r="874" spans="2:15" x14ac:dyDescent="0.25">
      <c r="B874">
        <v>871</v>
      </c>
      <c r="C874" s="1">
        <v>44902</v>
      </c>
      <c r="D874" t="s">
        <v>14</v>
      </c>
      <c r="E874" t="s">
        <v>11</v>
      </c>
      <c r="F874">
        <v>20</v>
      </c>
      <c r="G874">
        <v>14</v>
      </c>
      <c r="H874">
        <v>280</v>
      </c>
      <c r="J874" t="s">
        <v>22</v>
      </c>
      <c r="K874" t="s">
        <v>20</v>
      </c>
      <c r="L874">
        <f t="shared" si="39"/>
        <v>2022</v>
      </c>
      <c r="M874" s="13">
        <f t="shared" si="40"/>
        <v>44896</v>
      </c>
      <c r="N874" t="str">
        <f t="shared" si="41"/>
        <v>Sin registrar</v>
      </c>
      <c r="O874" t="str">
        <f>IF(Tabla22[[#This Row],[quantity]]&gt;=umbral_grande, "Grande", IF(Tabla22[[#This Row],[quantity]]&gt;=umbral_mediano,"Mediano", "Pequeño"))</f>
        <v>Grande</v>
      </c>
    </row>
    <row r="875" spans="2:15" x14ac:dyDescent="0.25">
      <c r="B875">
        <v>872</v>
      </c>
      <c r="C875" s="1">
        <v>44756</v>
      </c>
      <c r="D875" t="s">
        <v>25</v>
      </c>
      <c r="E875" t="s">
        <v>11</v>
      </c>
      <c r="F875">
        <v>60</v>
      </c>
      <c r="G875">
        <v>12</v>
      </c>
      <c r="H875">
        <v>720</v>
      </c>
      <c r="I875" t="s">
        <v>15</v>
      </c>
      <c r="J875" t="s">
        <v>12</v>
      </c>
      <c r="K875" t="s">
        <v>16</v>
      </c>
      <c r="L875">
        <f t="shared" si="39"/>
        <v>2022</v>
      </c>
      <c r="M875" s="13">
        <f t="shared" si="40"/>
        <v>44743</v>
      </c>
      <c r="N875" t="str">
        <f t="shared" si="41"/>
        <v>Cash</v>
      </c>
      <c r="O875" t="str">
        <f>IF(Tabla22[[#This Row],[quantity]]&gt;=umbral_grande, "Grande", IF(Tabla22[[#This Row],[quantity]]&gt;=umbral_mediano,"Mediano", "Pequeño"))</f>
        <v>Grande</v>
      </c>
    </row>
    <row r="876" spans="2:15" x14ac:dyDescent="0.25">
      <c r="B876">
        <v>873</v>
      </c>
      <c r="C876" s="1">
        <v>44690</v>
      </c>
      <c r="D876" t="s">
        <v>17</v>
      </c>
      <c r="E876" t="s">
        <v>18</v>
      </c>
      <c r="F876">
        <v>25</v>
      </c>
      <c r="G876">
        <v>1</v>
      </c>
      <c r="H876">
        <v>25</v>
      </c>
      <c r="I876" t="s">
        <v>19</v>
      </c>
      <c r="J876" t="s">
        <v>12</v>
      </c>
      <c r="K876" t="s">
        <v>13</v>
      </c>
      <c r="L876">
        <f t="shared" si="39"/>
        <v>2022</v>
      </c>
      <c r="M876" s="13">
        <f t="shared" si="40"/>
        <v>44682</v>
      </c>
      <c r="N876" t="str">
        <f t="shared" si="41"/>
        <v>Online</v>
      </c>
      <c r="O876" t="str">
        <f>IF(Tabla22[[#This Row],[quantity]]&gt;=umbral_grande, "Grande", IF(Tabla22[[#This Row],[quantity]]&gt;=umbral_mediano,"Mediano", "Pequeño"))</f>
        <v>Pequeño</v>
      </c>
    </row>
    <row r="877" spans="2:15" x14ac:dyDescent="0.25">
      <c r="B877">
        <v>874</v>
      </c>
      <c r="C877" s="1">
        <v>44690</v>
      </c>
      <c r="D877" t="s">
        <v>27</v>
      </c>
      <c r="E877" t="s">
        <v>18</v>
      </c>
      <c r="F877">
        <v>40</v>
      </c>
      <c r="G877">
        <v>4</v>
      </c>
      <c r="H877">
        <v>160</v>
      </c>
      <c r="I877" t="s">
        <v>15</v>
      </c>
      <c r="J877" t="s">
        <v>12</v>
      </c>
      <c r="K877" t="s">
        <v>26</v>
      </c>
      <c r="L877">
        <f t="shared" si="39"/>
        <v>2022</v>
      </c>
      <c r="M877" s="13">
        <f t="shared" si="40"/>
        <v>44682</v>
      </c>
      <c r="N877" t="str">
        <f t="shared" si="41"/>
        <v>Cash</v>
      </c>
      <c r="O877" t="str">
        <f>IF(Tabla22[[#This Row],[quantity]]&gt;=umbral_grande, "Grande", IF(Tabla22[[#This Row],[quantity]]&gt;=umbral_mediano,"Mediano", "Pequeño"))</f>
        <v>Pequeño</v>
      </c>
    </row>
    <row r="878" spans="2:15" x14ac:dyDescent="0.25">
      <c r="B878">
        <v>875</v>
      </c>
      <c r="C878" s="1">
        <v>44778</v>
      </c>
      <c r="D878" t="s">
        <v>14</v>
      </c>
      <c r="E878" t="s">
        <v>11</v>
      </c>
      <c r="F878">
        <v>20</v>
      </c>
      <c r="G878">
        <v>15</v>
      </c>
      <c r="H878">
        <v>300</v>
      </c>
      <c r="I878" t="s">
        <v>15</v>
      </c>
      <c r="J878" t="s">
        <v>12</v>
      </c>
      <c r="K878" t="s">
        <v>20</v>
      </c>
      <c r="L878">
        <f t="shared" si="39"/>
        <v>2022</v>
      </c>
      <c r="M878" s="13">
        <f t="shared" si="40"/>
        <v>44774</v>
      </c>
      <c r="N878" t="str">
        <f t="shared" si="41"/>
        <v>Cash</v>
      </c>
      <c r="O878" t="str">
        <f>IF(Tabla22[[#This Row],[quantity]]&gt;=umbral_grande, "Grande", IF(Tabla22[[#This Row],[quantity]]&gt;=umbral_mediano,"Mediano", "Pequeño"))</f>
        <v>Grande</v>
      </c>
    </row>
    <row r="879" spans="2:15" x14ac:dyDescent="0.25">
      <c r="B879">
        <v>876</v>
      </c>
      <c r="C879" s="1">
        <v>44722</v>
      </c>
      <c r="D879" t="s">
        <v>27</v>
      </c>
      <c r="E879" t="s">
        <v>18</v>
      </c>
      <c r="F879">
        <v>40</v>
      </c>
      <c r="G879">
        <v>8</v>
      </c>
      <c r="H879">
        <v>320</v>
      </c>
      <c r="I879" t="s">
        <v>19</v>
      </c>
      <c r="J879" t="s">
        <v>22</v>
      </c>
      <c r="K879" t="s">
        <v>20</v>
      </c>
      <c r="L879">
        <f t="shared" si="39"/>
        <v>2022</v>
      </c>
      <c r="M879" s="13">
        <f t="shared" si="40"/>
        <v>44713</v>
      </c>
      <c r="N879" t="str">
        <f t="shared" si="41"/>
        <v>Online</v>
      </c>
      <c r="O879" t="str">
        <f>IF(Tabla22[[#This Row],[quantity]]&gt;=umbral_grande, "Grande", IF(Tabla22[[#This Row],[quantity]]&gt;=umbral_mediano,"Mediano", "Pequeño"))</f>
        <v>Mediano</v>
      </c>
    </row>
    <row r="880" spans="2:15" x14ac:dyDescent="0.25">
      <c r="B880">
        <v>877</v>
      </c>
      <c r="C880" s="1">
        <v>44861</v>
      </c>
      <c r="D880" t="s">
        <v>17</v>
      </c>
      <c r="E880" t="s">
        <v>18</v>
      </c>
      <c r="F880">
        <v>25</v>
      </c>
      <c r="G880">
        <v>14</v>
      </c>
      <c r="H880">
        <v>350</v>
      </c>
      <c r="I880" t="s">
        <v>15</v>
      </c>
      <c r="J880" t="s">
        <v>22</v>
      </c>
      <c r="K880" t="s">
        <v>16</v>
      </c>
      <c r="L880">
        <f t="shared" si="39"/>
        <v>2022</v>
      </c>
      <c r="M880" s="13">
        <f t="shared" si="40"/>
        <v>44835</v>
      </c>
      <c r="N880" t="str">
        <f t="shared" si="41"/>
        <v>Cash</v>
      </c>
      <c r="O880" t="str">
        <f>IF(Tabla22[[#This Row],[quantity]]&gt;=umbral_grande, "Grande", IF(Tabla22[[#This Row],[quantity]]&gt;=umbral_mediano,"Mediano", "Pequeño"))</f>
        <v>Grande</v>
      </c>
    </row>
    <row r="881" spans="2:15" x14ac:dyDescent="0.25">
      <c r="B881">
        <v>878</v>
      </c>
      <c r="C881" s="1">
        <v>44785</v>
      </c>
      <c r="D881" t="s">
        <v>25</v>
      </c>
      <c r="E881" t="s">
        <v>11</v>
      </c>
      <c r="F881">
        <v>60</v>
      </c>
      <c r="G881">
        <v>6</v>
      </c>
      <c r="H881">
        <v>360</v>
      </c>
      <c r="I881" t="s">
        <v>19</v>
      </c>
      <c r="J881" t="s">
        <v>12</v>
      </c>
      <c r="K881" t="s">
        <v>20</v>
      </c>
      <c r="L881">
        <f t="shared" si="39"/>
        <v>2022</v>
      </c>
      <c r="M881" s="13">
        <f t="shared" si="40"/>
        <v>44774</v>
      </c>
      <c r="N881" t="str">
        <f t="shared" si="41"/>
        <v>Online</v>
      </c>
      <c r="O881" t="str">
        <f>IF(Tabla22[[#This Row],[quantity]]&gt;=umbral_grande, "Grande", IF(Tabla22[[#This Row],[quantity]]&gt;=umbral_mediano,"Mediano", "Pequeño"))</f>
        <v>Mediano</v>
      </c>
    </row>
    <row r="882" spans="2:15" x14ac:dyDescent="0.25">
      <c r="B882">
        <v>879</v>
      </c>
      <c r="C882" s="1">
        <v>44871</v>
      </c>
      <c r="D882" t="s">
        <v>27</v>
      </c>
      <c r="E882" t="s">
        <v>18</v>
      </c>
      <c r="F882">
        <v>40</v>
      </c>
      <c r="G882">
        <v>9</v>
      </c>
      <c r="H882">
        <v>360</v>
      </c>
      <c r="I882" t="s">
        <v>15</v>
      </c>
      <c r="J882" t="s">
        <v>22</v>
      </c>
      <c r="K882" t="s">
        <v>20</v>
      </c>
      <c r="L882">
        <f t="shared" si="39"/>
        <v>2022</v>
      </c>
      <c r="M882" s="13">
        <f t="shared" si="40"/>
        <v>44866</v>
      </c>
      <c r="N882" t="str">
        <f t="shared" si="41"/>
        <v>Cash</v>
      </c>
      <c r="O882" t="str">
        <f>IF(Tabla22[[#This Row],[quantity]]&gt;=umbral_grande, "Grande", IF(Tabla22[[#This Row],[quantity]]&gt;=umbral_mediano,"Mediano", "Pequeño"))</f>
        <v>Mediano</v>
      </c>
    </row>
    <row r="883" spans="2:15" x14ac:dyDescent="0.25">
      <c r="B883">
        <v>880</v>
      </c>
      <c r="C883" s="1">
        <v>44737</v>
      </c>
      <c r="D883" t="s">
        <v>17</v>
      </c>
      <c r="E883" t="s">
        <v>18</v>
      </c>
      <c r="F883">
        <v>25</v>
      </c>
      <c r="G883">
        <v>5</v>
      </c>
      <c r="H883">
        <v>125</v>
      </c>
      <c r="I883" t="s">
        <v>15</v>
      </c>
      <c r="J883" t="s">
        <v>22</v>
      </c>
      <c r="K883" t="s">
        <v>23</v>
      </c>
      <c r="L883">
        <f t="shared" si="39"/>
        <v>2022</v>
      </c>
      <c r="M883" s="13">
        <f t="shared" si="40"/>
        <v>44713</v>
      </c>
      <c r="N883" t="str">
        <f t="shared" si="41"/>
        <v>Cash</v>
      </c>
      <c r="O883" t="str">
        <f>IF(Tabla22[[#This Row],[quantity]]&gt;=umbral_grande, "Grande", IF(Tabla22[[#This Row],[quantity]]&gt;=umbral_mediano,"Mediano", "Pequeño"))</f>
        <v>Pequeño</v>
      </c>
    </row>
    <row r="884" spans="2:15" x14ac:dyDescent="0.25">
      <c r="B884">
        <v>881</v>
      </c>
      <c r="C884" s="1">
        <v>44706</v>
      </c>
      <c r="D884" t="s">
        <v>25</v>
      </c>
      <c r="E884" t="s">
        <v>11</v>
      </c>
      <c r="F884">
        <v>60</v>
      </c>
      <c r="G884">
        <v>2</v>
      </c>
      <c r="H884">
        <v>120</v>
      </c>
      <c r="I884" t="s">
        <v>15</v>
      </c>
      <c r="J884" t="s">
        <v>12</v>
      </c>
      <c r="K884" t="s">
        <v>26</v>
      </c>
      <c r="L884">
        <f t="shared" si="39"/>
        <v>2022</v>
      </c>
      <c r="M884" s="13">
        <f t="shared" si="40"/>
        <v>44682</v>
      </c>
      <c r="N884" t="str">
        <f t="shared" si="41"/>
        <v>Cash</v>
      </c>
      <c r="O884" t="str">
        <f>IF(Tabla22[[#This Row],[quantity]]&gt;=umbral_grande, "Grande", IF(Tabla22[[#This Row],[quantity]]&gt;=umbral_mediano,"Mediano", "Pequeño"))</f>
        <v>Pequeño</v>
      </c>
    </row>
    <row r="885" spans="2:15" x14ac:dyDescent="0.25">
      <c r="B885">
        <v>882</v>
      </c>
      <c r="C885" s="1">
        <v>44674</v>
      </c>
      <c r="D885" t="s">
        <v>21</v>
      </c>
      <c r="E885" t="s">
        <v>11</v>
      </c>
      <c r="F885">
        <v>20</v>
      </c>
      <c r="G885">
        <v>9</v>
      </c>
      <c r="H885">
        <v>180</v>
      </c>
      <c r="I885" t="s">
        <v>19</v>
      </c>
      <c r="J885" t="s">
        <v>12</v>
      </c>
      <c r="K885" t="s">
        <v>23</v>
      </c>
      <c r="L885">
        <f t="shared" si="39"/>
        <v>2022</v>
      </c>
      <c r="M885" s="13">
        <f t="shared" si="40"/>
        <v>44652</v>
      </c>
      <c r="N885" t="str">
        <f t="shared" si="41"/>
        <v>Online</v>
      </c>
      <c r="O885" t="str">
        <f>IF(Tabla22[[#This Row],[quantity]]&gt;=umbral_grande, "Grande", IF(Tabla22[[#This Row],[quantity]]&gt;=umbral_mediano,"Mediano", "Pequeño"))</f>
        <v>Mediano</v>
      </c>
    </row>
    <row r="886" spans="2:15" x14ac:dyDescent="0.25">
      <c r="B886">
        <v>883</v>
      </c>
      <c r="C886" s="1">
        <v>44797</v>
      </c>
      <c r="D886" t="s">
        <v>10</v>
      </c>
      <c r="E886" t="s">
        <v>11</v>
      </c>
      <c r="F886">
        <v>20</v>
      </c>
      <c r="G886">
        <v>5</v>
      </c>
      <c r="H886">
        <v>100</v>
      </c>
      <c r="I886" t="s">
        <v>19</v>
      </c>
      <c r="J886" t="s">
        <v>22</v>
      </c>
      <c r="K886" t="s">
        <v>26</v>
      </c>
      <c r="L886">
        <f t="shared" si="39"/>
        <v>2022</v>
      </c>
      <c r="M886" s="13">
        <f t="shared" si="40"/>
        <v>44774</v>
      </c>
      <c r="N886" t="str">
        <f t="shared" si="41"/>
        <v>Online</v>
      </c>
      <c r="O886" t="str">
        <f>IF(Tabla22[[#This Row],[quantity]]&gt;=umbral_grande, "Grande", IF(Tabla22[[#This Row],[quantity]]&gt;=umbral_mediano,"Mediano", "Pequeño"))</f>
        <v>Pequeño</v>
      </c>
    </row>
    <row r="887" spans="2:15" x14ac:dyDescent="0.25">
      <c r="B887">
        <v>884</v>
      </c>
      <c r="C887" s="1">
        <v>44986</v>
      </c>
      <c r="D887" t="s">
        <v>14</v>
      </c>
      <c r="E887" t="s">
        <v>11</v>
      </c>
      <c r="F887">
        <v>20</v>
      </c>
      <c r="G887">
        <v>12</v>
      </c>
      <c r="H887">
        <v>240</v>
      </c>
      <c r="I887" t="s">
        <v>19</v>
      </c>
      <c r="J887" t="s">
        <v>12</v>
      </c>
      <c r="K887" t="s">
        <v>13</v>
      </c>
      <c r="L887">
        <f t="shared" si="39"/>
        <v>2023</v>
      </c>
      <c r="M887" s="13">
        <f t="shared" si="40"/>
        <v>44986</v>
      </c>
      <c r="N887" t="str">
        <f t="shared" si="41"/>
        <v>Online</v>
      </c>
      <c r="O887" t="str">
        <f>IF(Tabla22[[#This Row],[quantity]]&gt;=umbral_grande, "Grande", IF(Tabla22[[#This Row],[quantity]]&gt;=umbral_mediano,"Mediano", "Pequeño"))</f>
        <v>Grande</v>
      </c>
    </row>
    <row r="888" spans="2:15" x14ac:dyDescent="0.25">
      <c r="B888">
        <v>885</v>
      </c>
      <c r="C888" s="1">
        <v>44850</v>
      </c>
      <c r="D888" t="s">
        <v>17</v>
      </c>
      <c r="E888" t="s">
        <v>18</v>
      </c>
      <c r="F888">
        <v>25</v>
      </c>
      <c r="G888">
        <v>4</v>
      </c>
      <c r="H888">
        <v>100</v>
      </c>
      <c r="I888" t="s">
        <v>15</v>
      </c>
      <c r="J888" t="s">
        <v>12</v>
      </c>
      <c r="K888" t="s">
        <v>20</v>
      </c>
      <c r="L888">
        <f t="shared" si="39"/>
        <v>2022</v>
      </c>
      <c r="M888" s="13">
        <f t="shared" si="40"/>
        <v>44835</v>
      </c>
      <c r="N888" t="str">
        <f t="shared" si="41"/>
        <v>Cash</v>
      </c>
      <c r="O888" t="str">
        <f>IF(Tabla22[[#This Row],[quantity]]&gt;=umbral_grande, "Grande", IF(Tabla22[[#This Row],[quantity]]&gt;=umbral_mediano,"Mediano", "Pequeño"))</f>
        <v>Pequeño</v>
      </c>
    </row>
    <row r="889" spans="2:15" x14ac:dyDescent="0.25">
      <c r="B889">
        <v>886</v>
      </c>
      <c r="C889" s="1">
        <v>44763</v>
      </c>
      <c r="D889" t="s">
        <v>17</v>
      </c>
      <c r="E889" t="s">
        <v>18</v>
      </c>
      <c r="F889">
        <v>25</v>
      </c>
      <c r="G889">
        <v>4</v>
      </c>
      <c r="H889">
        <v>100</v>
      </c>
      <c r="I889" t="s">
        <v>15</v>
      </c>
      <c r="J889" t="s">
        <v>22</v>
      </c>
      <c r="K889" t="s">
        <v>13</v>
      </c>
      <c r="L889">
        <f t="shared" si="39"/>
        <v>2022</v>
      </c>
      <c r="M889" s="13">
        <f t="shared" si="40"/>
        <v>44743</v>
      </c>
      <c r="N889" t="str">
        <f t="shared" si="41"/>
        <v>Cash</v>
      </c>
      <c r="O889" t="str">
        <f>IF(Tabla22[[#This Row],[quantity]]&gt;=umbral_grande, "Grande", IF(Tabla22[[#This Row],[quantity]]&gt;=umbral_mediano,"Mediano", "Pequeño"))</f>
        <v>Pequeño</v>
      </c>
    </row>
    <row r="890" spans="2:15" x14ac:dyDescent="0.25">
      <c r="B890">
        <v>887</v>
      </c>
      <c r="C890" s="1">
        <v>44858</v>
      </c>
      <c r="D890" t="s">
        <v>10</v>
      </c>
      <c r="E890" t="s">
        <v>11</v>
      </c>
      <c r="F890">
        <v>20</v>
      </c>
      <c r="G890">
        <v>3</v>
      </c>
      <c r="H890">
        <v>60</v>
      </c>
      <c r="I890" t="s">
        <v>15</v>
      </c>
      <c r="J890" t="s">
        <v>12</v>
      </c>
      <c r="K890" t="s">
        <v>23</v>
      </c>
      <c r="L890">
        <f t="shared" si="39"/>
        <v>2022</v>
      </c>
      <c r="M890" s="13">
        <f t="shared" si="40"/>
        <v>44835</v>
      </c>
      <c r="N890" t="str">
        <f t="shared" si="41"/>
        <v>Cash</v>
      </c>
      <c r="O890" t="str">
        <f>IF(Tabla22[[#This Row],[quantity]]&gt;=umbral_grande, "Grande", IF(Tabla22[[#This Row],[quantity]]&gt;=umbral_mediano,"Mediano", "Pequeño"))</f>
        <v>Pequeño</v>
      </c>
    </row>
    <row r="891" spans="2:15" x14ac:dyDescent="0.25">
      <c r="B891">
        <v>888</v>
      </c>
      <c r="C891" s="1">
        <v>44809</v>
      </c>
      <c r="D891" t="s">
        <v>14</v>
      </c>
      <c r="E891" t="s">
        <v>11</v>
      </c>
      <c r="F891">
        <v>20</v>
      </c>
      <c r="G891">
        <v>8</v>
      </c>
      <c r="H891">
        <v>160</v>
      </c>
      <c r="I891" t="s">
        <v>15</v>
      </c>
      <c r="J891" t="s">
        <v>12</v>
      </c>
      <c r="K891" t="s">
        <v>20</v>
      </c>
      <c r="L891">
        <f t="shared" si="39"/>
        <v>2022</v>
      </c>
      <c r="M891" s="13">
        <f t="shared" si="40"/>
        <v>44805</v>
      </c>
      <c r="N891" t="str">
        <f t="shared" si="41"/>
        <v>Cash</v>
      </c>
      <c r="O891" t="str">
        <f>IF(Tabla22[[#This Row],[quantity]]&gt;=umbral_grande, "Grande", IF(Tabla22[[#This Row],[quantity]]&gt;=umbral_mediano,"Mediano", "Pequeño"))</f>
        <v>Mediano</v>
      </c>
    </row>
    <row r="892" spans="2:15" x14ac:dyDescent="0.25">
      <c r="B892">
        <v>889</v>
      </c>
      <c r="C892" s="1">
        <v>44663</v>
      </c>
      <c r="D892" t="s">
        <v>14</v>
      </c>
      <c r="E892" t="s">
        <v>11</v>
      </c>
      <c r="F892">
        <v>20</v>
      </c>
      <c r="G892">
        <v>10</v>
      </c>
      <c r="H892">
        <v>200</v>
      </c>
      <c r="I892" t="s">
        <v>19</v>
      </c>
      <c r="J892" t="s">
        <v>12</v>
      </c>
      <c r="K892" t="s">
        <v>26</v>
      </c>
      <c r="L892">
        <f t="shared" si="39"/>
        <v>2022</v>
      </c>
      <c r="M892" s="13">
        <f t="shared" si="40"/>
        <v>44652</v>
      </c>
      <c r="N892" t="str">
        <f t="shared" si="41"/>
        <v>Online</v>
      </c>
      <c r="O892" t="str">
        <f>IF(Tabla22[[#This Row],[quantity]]&gt;=umbral_grande, "Grande", IF(Tabla22[[#This Row],[quantity]]&gt;=umbral_mediano,"Mediano", "Pequeño"))</f>
        <v>Mediano</v>
      </c>
    </row>
    <row r="893" spans="2:15" x14ac:dyDescent="0.25">
      <c r="B893">
        <v>890</v>
      </c>
      <c r="C893" s="1">
        <v>44988</v>
      </c>
      <c r="D893" t="s">
        <v>17</v>
      </c>
      <c r="E893" t="s">
        <v>18</v>
      </c>
      <c r="F893">
        <v>25</v>
      </c>
      <c r="G893">
        <v>5</v>
      </c>
      <c r="H893">
        <v>125</v>
      </c>
      <c r="I893" t="s">
        <v>15</v>
      </c>
      <c r="J893" t="s">
        <v>22</v>
      </c>
      <c r="K893" t="s">
        <v>23</v>
      </c>
      <c r="L893">
        <f t="shared" si="39"/>
        <v>2023</v>
      </c>
      <c r="M893" s="13">
        <f t="shared" si="40"/>
        <v>44986</v>
      </c>
      <c r="N893" t="str">
        <f t="shared" si="41"/>
        <v>Cash</v>
      </c>
      <c r="O893" t="str">
        <f>IF(Tabla22[[#This Row],[quantity]]&gt;=umbral_grande, "Grande", IF(Tabla22[[#This Row],[quantity]]&gt;=umbral_mediano,"Mediano", "Pequeño"))</f>
        <v>Pequeño</v>
      </c>
    </row>
    <row r="894" spans="2:15" x14ac:dyDescent="0.25">
      <c r="B894">
        <v>891</v>
      </c>
      <c r="C894" s="1">
        <v>44922</v>
      </c>
      <c r="D894" t="s">
        <v>27</v>
      </c>
      <c r="E894" t="s">
        <v>18</v>
      </c>
      <c r="F894">
        <v>40</v>
      </c>
      <c r="G894">
        <v>11</v>
      </c>
      <c r="H894">
        <v>440</v>
      </c>
      <c r="I894" t="s">
        <v>15</v>
      </c>
      <c r="J894" t="s">
        <v>12</v>
      </c>
      <c r="K894" t="s">
        <v>26</v>
      </c>
      <c r="L894">
        <f t="shared" si="39"/>
        <v>2022</v>
      </c>
      <c r="M894" s="13">
        <f t="shared" si="40"/>
        <v>44896</v>
      </c>
      <c r="N894" t="str">
        <f t="shared" si="41"/>
        <v>Cash</v>
      </c>
      <c r="O894" t="str">
        <f>IF(Tabla22[[#This Row],[quantity]]&gt;=umbral_grande, "Grande", IF(Tabla22[[#This Row],[quantity]]&gt;=umbral_mediano,"Mediano", "Pequeño"))</f>
        <v>Grande</v>
      </c>
    </row>
    <row r="895" spans="2:15" x14ac:dyDescent="0.25">
      <c r="B895">
        <v>892</v>
      </c>
      <c r="C895" s="1">
        <v>44756</v>
      </c>
      <c r="D895" t="s">
        <v>17</v>
      </c>
      <c r="E895" t="s">
        <v>18</v>
      </c>
      <c r="F895">
        <v>25</v>
      </c>
      <c r="G895">
        <v>7</v>
      </c>
      <c r="H895">
        <v>175</v>
      </c>
      <c r="I895" t="s">
        <v>19</v>
      </c>
      <c r="J895" t="s">
        <v>22</v>
      </c>
      <c r="K895" t="s">
        <v>20</v>
      </c>
      <c r="L895">
        <f t="shared" si="39"/>
        <v>2022</v>
      </c>
      <c r="M895" s="13">
        <f t="shared" si="40"/>
        <v>44743</v>
      </c>
      <c r="N895" t="str">
        <f t="shared" si="41"/>
        <v>Online</v>
      </c>
      <c r="O895" t="str">
        <f>IF(Tabla22[[#This Row],[quantity]]&gt;=umbral_grande, "Grande", IF(Tabla22[[#This Row],[quantity]]&gt;=umbral_mediano,"Mediano", "Pequeño"))</f>
        <v>Mediano</v>
      </c>
    </row>
    <row r="896" spans="2:15" x14ac:dyDescent="0.25">
      <c r="B896">
        <v>893</v>
      </c>
      <c r="C896" s="1">
        <v>44755</v>
      </c>
      <c r="D896" t="s">
        <v>17</v>
      </c>
      <c r="E896" t="s">
        <v>18</v>
      </c>
      <c r="F896">
        <v>25</v>
      </c>
      <c r="G896">
        <v>12</v>
      </c>
      <c r="H896">
        <v>300</v>
      </c>
      <c r="I896" t="s">
        <v>15</v>
      </c>
      <c r="J896" t="s">
        <v>22</v>
      </c>
      <c r="K896" t="s">
        <v>16</v>
      </c>
      <c r="L896">
        <f t="shared" si="39"/>
        <v>2022</v>
      </c>
      <c r="M896" s="13">
        <f t="shared" si="40"/>
        <v>44743</v>
      </c>
      <c r="N896" t="str">
        <f t="shared" si="41"/>
        <v>Cash</v>
      </c>
      <c r="O896" t="str">
        <f>IF(Tabla22[[#This Row],[quantity]]&gt;=umbral_grande, "Grande", IF(Tabla22[[#This Row],[quantity]]&gt;=umbral_mediano,"Mediano", "Pequeño"))</f>
        <v>Grande</v>
      </c>
    </row>
    <row r="897" spans="2:15" x14ac:dyDescent="0.25">
      <c r="B897">
        <v>894</v>
      </c>
      <c r="C897" s="1">
        <v>45004</v>
      </c>
      <c r="D897" t="s">
        <v>25</v>
      </c>
      <c r="E897" t="s">
        <v>11</v>
      </c>
      <c r="F897">
        <v>60</v>
      </c>
      <c r="G897">
        <v>15</v>
      </c>
      <c r="H897">
        <v>900</v>
      </c>
      <c r="I897" t="s">
        <v>15</v>
      </c>
      <c r="J897" t="s">
        <v>12</v>
      </c>
      <c r="K897" t="s">
        <v>23</v>
      </c>
      <c r="L897">
        <f t="shared" si="39"/>
        <v>2023</v>
      </c>
      <c r="M897" s="13">
        <f t="shared" si="40"/>
        <v>44986</v>
      </c>
      <c r="N897" t="str">
        <f t="shared" si="41"/>
        <v>Cash</v>
      </c>
      <c r="O897" t="str">
        <f>IF(Tabla22[[#This Row],[quantity]]&gt;=umbral_grande, "Grande", IF(Tabla22[[#This Row],[quantity]]&gt;=umbral_mediano,"Mediano", "Pequeño"))</f>
        <v>Grande</v>
      </c>
    </row>
    <row r="898" spans="2:15" x14ac:dyDescent="0.25">
      <c r="B898">
        <v>895</v>
      </c>
      <c r="C898" s="1">
        <v>44929</v>
      </c>
      <c r="D898" t="s">
        <v>17</v>
      </c>
      <c r="E898" t="s">
        <v>18</v>
      </c>
      <c r="F898">
        <v>25</v>
      </c>
      <c r="G898">
        <v>11</v>
      </c>
      <c r="H898">
        <v>275</v>
      </c>
      <c r="I898" t="s">
        <v>15</v>
      </c>
      <c r="J898" t="s">
        <v>12</v>
      </c>
      <c r="K898" t="s">
        <v>16</v>
      </c>
      <c r="L898">
        <f t="shared" si="39"/>
        <v>2023</v>
      </c>
      <c r="M898" s="13">
        <f t="shared" si="40"/>
        <v>44927</v>
      </c>
      <c r="N898" t="str">
        <f t="shared" si="41"/>
        <v>Cash</v>
      </c>
      <c r="O898" t="str">
        <f>IF(Tabla22[[#This Row],[quantity]]&gt;=umbral_grande, "Grande", IF(Tabla22[[#This Row],[quantity]]&gt;=umbral_mediano,"Mediano", "Pequeño"))</f>
        <v>Grande</v>
      </c>
    </row>
    <row r="899" spans="2:15" x14ac:dyDescent="0.25">
      <c r="B899">
        <v>896</v>
      </c>
      <c r="C899" s="1">
        <v>44864</v>
      </c>
      <c r="D899" t="s">
        <v>10</v>
      </c>
      <c r="E899" t="s">
        <v>11</v>
      </c>
      <c r="F899">
        <v>20</v>
      </c>
      <c r="G899">
        <v>13</v>
      </c>
      <c r="H899">
        <v>260</v>
      </c>
      <c r="I899" t="s">
        <v>15</v>
      </c>
      <c r="J899" t="s">
        <v>12</v>
      </c>
      <c r="K899" t="s">
        <v>13</v>
      </c>
      <c r="L899">
        <f t="shared" si="39"/>
        <v>2022</v>
      </c>
      <c r="M899" s="13">
        <f t="shared" si="40"/>
        <v>44835</v>
      </c>
      <c r="N899" t="str">
        <f t="shared" si="41"/>
        <v>Cash</v>
      </c>
      <c r="O899" t="str">
        <f>IF(Tabla22[[#This Row],[quantity]]&gt;=umbral_grande, "Grande", IF(Tabla22[[#This Row],[quantity]]&gt;=umbral_mediano,"Mediano", "Pequeño"))</f>
        <v>Grande</v>
      </c>
    </row>
    <row r="900" spans="2:15" x14ac:dyDescent="0.25">
      <c r="B900">
        <v>897</v>
      </c>
      <c r="C900" s="1">
        <v>44795</v>
      </c>
      <c r="D900" t="s">
        <v>10</v>
      </c>
      <c r="E900" t="s">
        <v>11</v>
      </c>
      <c r="F900">
        <v>20</v>
      </c>
      <c r="G900">
        <v>6</v>
      </c>
      <c r="H900">
        <v>120</v>
      </c>
      <c r="I900" t="s">
        <v>19</v>
      </c>
      <c r="J900" t="s">
        <v>12</v>
      </c>
      <c r="K900" t="s">
        <v>23</v>
      </c>
      <c r="L900">
        <f t="shared" si="39"/>
        <v>2022</v>
      </c>
      <c r="M900" s="13">
        <f t="shared" si="40"/>
        <v>44774</v>
      </c>
      <c r="N900" t="str">
        <f t="shared" si="41"/>
        <v>Online</v>
      </c>
      <c r="O900" t="str">
        <f>IF(Tabla22[[#This Row],[quantity]]&gt;=umbral_grande, "Grande", IF(Tabla22[[#This Row],[quantity]]&gt;=umbral_mediano,"Mediano", "Pequeño"))</f>
        <v>Mediano</v>
      </c>
    </row>
    <row r="901" spans="2:15" x14ac:dyDescent="0.25">
      <c r="B901">
        <v>898</v>
      </c>
      <c r="C901" s="1">
        <v>44987</v>
      </c>
      <c r="D901" t="s">
        <v>24</v>
      </c>
      <c r="E901" t="s">
        <v>11</v>
      </c>
      <c r="F901">
        <v>50</v>
      </c>
      <c r="G901">
        <v>8</v>
      </c>
      <c r="H901">
        <v>400</v>
      </c>
      <c r="I901" t="s">
        <v>15</v>
      </c>
      <c r="J901" t="s">
        <v>12</v>
      </c>
      <c r="K901" t="s">
        <v>16</v>
      </c>
      <c r="L901">
        <f t="shared" ref="L901:L964" si="42">YEAR(C901)</f>
        <v>2023</v>
      </c>
      <c r="M901" s="13">
        <f t="shared" ref="M901:M964" si="43">DATE(YEAR(C901),MONTH(C901),1)</f>
        <v>44986</v>
      </c>
      <c r="N901" t="str">
        <f t="shared" ref="N901:N964" si="44">IF(I901 = "", "Sin registrar",I901)</f>
        <v>Cash</v>
      </c>
      <c r="O901" t="str">
        <f>IF(Tabla22[[#This Row],[quantity]]&gt;=umbral_grande, "Grande", IF(Tabla22[[#This Row],[quantity]]&gt;=umbral_mediano,"Mediano", "Pequeño"))</f>
        <v>Mediano</v>
      </c>
    </row>
    <row r="902" spans="2:15" x14ac:dyDescent="0.25">
      <c r="B902">
        <v>899</v>
      </c>
      <c r="C902" s="1">
        <v>44950</v>
      </c>
      <c r="D902" t="s">
        <v>10</v>
      </c>
      <c r="E902" t="s">
        <v>11</v>
      </c>
      <c r="F902">
        <v>20</v>
      </c>
      <c r="G902">
        <v>7</v>
      </c>
      <c r="H902">
        <v>140</v>
      </c>
      <c r="I902" t="s">
        <v>15</v>
      </c>
      <c r="J902" t="s">
        <v>12</v>
      </c>
      <c r="K902" t="s">
        <v>26</v>
      </c>
      <c r="L902">
        <f t="shared" si="42"/>
        <v>2023</v>
      </c>
      <c r="M902" s="13">
        <f t="shared" si="43"/>
        <v>44927</v>
      </c>
      <c r="N902" t="str">
        <f t="shared" si="44"/>
        <v>Cash</v>
      </c>
      <c r="O902" t="str">
        <f>IF(Tabla22[[#This Row],[quantity]]&gt;=umbral_grande, "Grande", IF(Tabla22[[#This Row],[quantity]]&gt;=umbral_mediano,"Mediano", "Pequeño"))</f>
        <v>Mediano</v>
      </c>
    </row>
    <row r="903" spans="2:15" x14ac:dyDescent="0.25">
      <c r="B903">
        <v>900</v>
      </c>
      <c r="C903" s="1">
        <v>44902</v>
      </c>
      <c r="D903" t="s">
        <v>17</v>
      </c>
      <c r="E903" t="s">
        <v>18</v>
      </c>
      <c r="F903">
        <v>25</v>
      </c>
      <c r="G903">
        <v>9</v>
      </c>
      <c r="H903">
        <v>225</v>
      </c>
      <c r="I903" t="s">
        <v>19</v>
      </c>
      <c r="J903" t="s">
        <v>12</v>
      </c>
      <c r="K903" t="s">
        <v>16</v>
      </c>
      <c r="L903">
        <f t="shared" si="42"/>
        <v>2022</v>
      </c>
      <c r="M903" s="13">
        <f t="shared" si="43"/>
        <v>44896</v>
      </c>
      <c r="N903" t="str">
        <f t="shared" si="44"/>
        <v>Online</v>
      </c>
      <c r="O903" t="str">
        <f>IF(Tabla22[[#This Row],[quantity]]&gt;=umbral_grande, "Grande", IF(Tabla22[[#This Row],[quantity]]&gt;=umbral_mediano,"Mediano", "Pequeño"))</f>
        <v>Mediano</v>
      </c>
    </row>
    <row r="904" spans="2:15" x14ac:dyDescent="0.25">
      <c r="B904">
        <v>901</v>
      </c>
      <c r="C904" s="1">
        <v>44919</v>
      </c>
      <c r="D904" t="s">
        <v>14</v>
      </c>
      <c r="E904" t="s">
        <v>11</v>
      </c>
      <c r="F904">
        <v>20</v>
      </c>
      <c r="G904">
        <v>7</v>
      </c>
      <c r="H904">
        <v>140</v>
      </c>
      <c r="I904" t="s">
        <v>19</v>
      </c>
      <c r="J904" t="s">
        <v>22</v>
      </c>
      <c r="K904" t="s">
        <v>23</v>
      </c>
      <c r="L904">
        <f t="shared" si="42"/>
        <v>2022</v>
      </c>
      <c r="M904" s="13">
        <f t="shared" si="43"/>
        <v>44896</v>
      </c>
      <c r="N904" t="str">
        <f t="shared" si="44"/>
        <v>Online</v>
      </c>
      <c r="O904" t="str">
        <f>IF(Tabla22[[#This Row],[quantity]]&gt;=umbral_grande, "Grande", IF(Tabla22[[#This Row],[quantity]]&gt;=umbral_mediano,"Mediano", "Pequeño"))</f>
        <v>Mediano</v>
      </c>
    </row>
    <row r="905" spans="2:15" x14ac:dyDescent="0.25">
      <c r="B905">
        <v>902</v>
      </c>
      <c r="C905" s="1">
        <v>44888</v>
      </c>
      <c r="D905" t="s">
        <v>24</v>
      </c>
      <c r="E905" t="s">
        <v>11</v>
      </c>
      <c r="F905">
        <v>50</v>
      </c>
      <c r="G905">
        <v>4</v>
      </c>
      <c r="H905">
        <v>200</v>
      </c>
      <c r="I905" t="s">
        <v>19</v>
      </c>
      <c r="J905" t="s">
        <v>12</v>
      </c>
      <c r="K905" t="s">
        <v>16</v>
      </c>
      <c r="L905">
        <f t="shared" si="42"/>
        <v>2022</v>
      </c>
      <c r="M905" s="13">
        <f t="shared" si="43"/>
        <v>44866</v>
      </c>
      <c r="N905" t="str">
        <f t="shared" si="44"/>
        <v>Online</v>
      </c>
      <c r="O905" t="str">
        <f>IF(Tabla22[[#This Row],[quantity]]&gt;=umbral_grande, "Grande", IF(Tabla22[[#This Row],[quantity]]&gt;=umbral_mediano,"Mediano", "Pequeño"))</f>
        <v>Pequeño</v>
      </c>
    </row>
    <row r="906" spans="2:15" x14ac:dyDescent="0.25">
      <c r="B906">
        <v>903</v>
      </c>
      <c r="C906" s="1">
        <v>44927</v>
      </c>
      <c r="D906" t="s">
        <v>10</v>
      </c>
      <c r="E906" t="s">
        <v>11</v>
      </c>
      <c r="F906">
        <v>20</v>
      </c>
      <c r="G906">
        <v>15</v>
      </c>
      <c r="H906">
        <v>300</v>
      </c>
      <c r="I906" t="s">
        <v>19</v>
      </c>
      <c r="J906" t="s">
        <v>12</v>
      </c>
      <c r="K906" t="s">
        <v>13</v>
      </c>
      <c r="L906">
        <f t="shared" si="42"/>
        <v>2023</v>
      </c>
      <c r="M906" s="13">
        <f t="shared" si="43"/>
        <v>44927</v>
      </c>
      <c r="N906" t="str">
        <f t="shared" si="44"/>
        <v>Online</v>
      </c>
      <c r="O906" t="str">
        <f>IF(Tabla22[[#This Row],[quantity]]&gt;=umbral_grande, "Grande", IF(Tabla22[[#This Row],[quantity]]&gt;=umbral_mediano,"Mediano", "Pequeño"))</f>
        <v>Grande</v>
      </c>
    </row>
    <row r="907" spans="2:15" x14ac:dyDescent="0.25">
      <c r="B907">
        <v>904</v>
      </c>
      <c r="C907" s="1">
        <v>44997</v>
      </c>
      <c r="D907" t="s">
        <v>10</v>
      </c>
      <c r="E907" t="s">
        <v>11</v>
      </c>
      <c r="F907">
        <v>20</v>
      </c>
      <c r="G907">
        <v>4</v>
      </c>
      <c r="H907">
        <v>80</v>
      </c>
      <c r="I907" t="s">
        <v>15</v>
      </c>
      <c r="J907" t="s">
        <v>22</v>
      </c>
      <c r="K907" t="s">
        <v>26</v>
      </c>
      <c r="L907">
        <f t="shared" si="42"/>
        <v>2023</v>
      </c>
      <c r="M907" s="13">
        <f t="shared" si="43"/>
        <v>44986</v>
      </c>
      <c r="N907" t="str">
        <f t="shared" si="44"/>
        <v>Cash</v>
      </c>
      <c r="O907" t="str">
        <f>IF(Tabla22[[#This Row],[quantity]]&gt;=umbral_grande, "Grande", IF(Tabla22[[#This Row],[quantity]]&gt;=umbral_mediano,"Mediano", "Pequeño"))</f>
        <v>Pequeño</v>
      </c>
    </row>
    <row r="908" spans="2:15" x14ac:dyDescent="0.25">
      <c r="B908">
        <v>905</v>
      </c>
      <c r="C908" s="1">
        <v>44908</v>
      </c>
      <c r="D908" t="s">
        <v>24</v>
      </c>
      <c r="E908" t="s">
        <v>11</v>
      </c>
      <c r="F908">
        <v>50</v>
      </c>
      <c r="G908">
        <v>15</v>
      </c>
      <c r="H908">
        <v>750</v>
      </c>
      <c r="I908" t="s">
        <v>15</v>
      </c>
      <c r="J908" t="s">
        <v>22</v>
      </c>
      <c r="K908" t="s">
        <v>26</v>
      </c>
      <c r="L908">
        <f t="shared" si="42"/>
        <v>2022</v>
      </c>
      <c r="M908" s="13">
        <f t="shared" si="43"/>
        <v>44896</v>
      </c>
      <c r="N908" t="str">
        <f t="shared" si="44"/>
        <v>Cash</v>
      </c>
      <c r="O908" t="str">
        <f>IF(Tabla22[[#This Row],[quantity]]&gt;=umbral_grande, "Grande", IF(Tabla22[[#This Row],[quantity]]&gt;=umbral_mediano,"Mediano", "Pequeño"))</f>
        <v>Grande</v>
      </c>
    </row>
    <row r="909" spans="2:15" x14ac:dyDescent="0.25">
      <c r="B909">
        <v>906</v>
      </c>
      <c r="C909" s="1">
        <v>44655</v>
      </c>
      <c r="D909" t="s">
        <v>25</v>
      </c>
      <c r="E909" t="s">
        <v>11</v>
      </c>
      <c r="F909">
        <v>60</v>
      </c>
      <c r="G909">
        <v>15</v>
      </c>
      <c r="H909">
        <v>900</v>
      </c>
      <c r="I909" t="s">
        <v>15</v>
      </c>
      <c r="J909" t="s">
        <v>12</v>
      </c>
      <c r="K909" t="s">
        <v>16</v>
      </c>
      <c r="L909">
        <f t="shared" si="42"/>
        <v>2022</v>
      </c>
      <c r="M909" s="13">
        <f t="shared" si="43"/>
        <v>44652</v>
      </c>
      <c r="N909" t="str">
        <f t="shared" si="44"/>
        <v>Cash</v>
      </c>
      <c r="O909" t="str">
        <f>IF(Tabla22[[#This Row],[quantity]]&gt;=umbral_grande, "Grande", IF(Tabla22[[#This Row],[quantity]]&gt;=umbral_mediano,"Mediano", "Pequeño"))</f>
        <v>Grande</v>
      </c>
    </row>
    <row r="910" spans="2:15" x14ac:dyDescent="0.25">
      <c r="B910">
        <v>907</v>
      </c>
      <c r="C910" s="1">
        <v>44853</v>
      </c>
      <c r="D910" t="s">
        <v>27</v>
      </c>
      <c r="E910" t="s">
        <v>18</v>
      </c>
      <c r="F910">
        <v>40</v>
      </c>
      <c r="G910">
        <v>4</v>
      </c>
      <c r="H910">
        <v>160</v>
      </c>
      <c r="J910" t="s">
        <v>22</v>
      </c>
      <c r="K910" t="s">
        <v>26</v>
      </c>
      <c r="L910">
        <f t="shared" si="42"/>
        <v>2022</v>
      </c>
      <c r="M910" s="13">
        <f t="shared" si="43"/>
        <v>44835</v>
      </c>
      <c r="N910" t="str">
        <f t="shared" si="44"/>
        <v>Sin registrar</v>
      </c>
      <c r="O910" t="str">
        <f>IF(Tabla22[[#This Row],[quantity]]&gt;=umbral_grande, "Grande", IF(Tabla22[[#This Row],[quantity]]&gt;=umbral_mediano,"Mediano", "Pequeño"))</f>
        <v>Pequeño</v>
      </c>
    </row>
    <row r="911" spans="2:15" x14ac:dyDescent="0.25">
      <c r="B911">
        <v>908</v>
      </c>
      <c r="C911" s="1">
        <v>44991</v>
      </c>
      <c r="D911" t="s">
        <v>25</v>
      </c>
      <c r="E911" t="s">
        <v>11</v>
      </c>
      <c r="F911">
        <v>60</v>
      </c>
      <c r="G911">
        <v>7</v>
      </c>
      <c r="H911">
        <v>420</v>
      </c>
      <c r="I911" t="s">
        <v>15</v>
      </c>
      <c r="J911" t="s">
        <v>22</v>
      </c>
      <c r="K911" t="s">
        <v>13</v>
      </c>
      <c r="L911">
        <f t="shared" si="42"/>
        <v>2023</v>
      </c>
      <c r="M911" s="13">
        <f t="shared" si="43"/>
        <v>44986</v>
      </c>
      <c r="N911" t="str">
        <f t="shared" si="44"/>
        <v>Cash</v>
      </c>
      <c r="O911" t="str">
        <f>IF(Tabla22[[#This Row],[quantity]]&gt;=umbral_grande, "Grande", IF(Tabla22[[#This Row],[quantity]]&gt;=umbral_mediano,"Mediano", "Pequeño"))</f>
        <v>Mediano</v>
      </c>
    </row>
    <row r="912" spans="2:15" x14ac:dyDescent="0.25">
      <c r="B912">
        <v>909</v>
      </c>
      <c r="C912" s="1">
        <v>44978</v>
      </c>
      <c r="D912" t="s">
        <v>27</v>
      </c>
      <c r="E912" t="s">
        <v>18</v>
      </c>
      <c r="F912">
        <v>40</v>
      </c>
      <c r="G912">
        <v>12</v>
      </c>
      <c r="H912">
        <v>480</v>
      </c>
      <c r="I912" t="s">
        <v>19</v>
      </c>
      <c r="J912" t="s">
        <v>22</v>
      </c>
      <c r="K912" t="s">
        <v>23</v>
      </c>
      <c r="L912">
        <f t="shared" si="42"/>
        <v>2023</v>
      </c>
      <c r="M912" s="13">
        <f t="shared" si="43"/>
        <v>44958</v>
      </c>
      <c r="N912" t="str">
        <f t="shared" si="44"/>
        <v>Online</v>
      </c>
      <c r="O912" t="str">
        <f>IF(Tabla22[[#This Row],[quantity]]&gt;=umbral_grande, "Grande", IF(Tabla22[[#This Row],[quantity]]&gt;=umbral_mediano,"Mediano", "Pequeño"))</f>
        <v>Grande</v>
      </c>
    </row>
    <row r="913" spans="2:15" x14ac:dyDescent="0.25">
      <c r="B913">
        <v>910</v>
      </c>
      <c r="C913" s="1">
        <v>44843</v>
      </c>
      <c r="D913" t="s">
        <v>21</v>
      </c>
      <c r="E913" t="s">
        <v>11</v>
      </c>
      <c r="F913">
        <v>20</v>
      </c>
      <c r="G913">
        <v>1</v>
      </c>
      <c r="H913">
        <v>20</v>
      </c>
      <c r="I913" t="s">
        <v>15</v>
      </c>
      <c r="J913" t="s">
        <v>22</v>
      </c>
      <c r="K913" t="s">
        <v>16</v>
      </c>
      <c r="L913">
        <f t="shared" si="42"/>
        <v>2022</v>
      </c>
      <c r="M913" s="13">
        <f t="shared" si="43"/>
        <v>44835</v>
      </c>
      <c r="N913" t="str">
        <f t="shared" si="44"/>
        <v>Cash</v>
      </c>
      <c r="O913" t="str">
        <f>IF(Tabla22[[#This Row],[quantity]]&gt;=umbral_grande, "Grande", IF(Tabla22[[#This Row],[quantity]]&gt;=umbral_mediano,"Mediano", "Pequeño"))</f>
        <v>Pequeño</v>
      </c>
    </row>
    <row r="914" spans="2:15" x14ac:dyDescent="0.25">
      <c r="B914">
        <v>911</v>
      </c>
      <c r="C914" s="1">
        <v>44660</v>
      </c>
      <c r="D914" t="s">
        <v>25</v>
      </c>
      <c r="E914" t="s">
        <v>11</v>
      </c>
      <c r="F914">
        <v>60</v>
      </c>
      <c r="G914">
        <v>1</v>
      </c>
      <c r="H914">
        <v>60</v>
      </c>
      <c r="I914" t="s">
        <v>15</v>
      </c>
      <c r="J914" t="s">
        <v>12</v>
      </c>
      <c r="K914" t="s">
        <v>20</v>
      </c>
      <c r="L914">
        <f t="shared" si="42"/>
        <v>2022</v>
      </c>
      <c r="M914" s="13">
        <f t="shared" si="43"/>
        <v>44652</v>
      </c>
      <c r="N914" t="str">
        <f t="shared" si="44"/>
        <v>Cash</v>
      </c>
      <c r="O914" t="str">
        <f>IF(Tabla22[[#This Row],[quantity]]&gt;=umbral_grande, "Grande", IF(Tabla22[[#This Row],[quantity]]&gt;=umbral_mediano,"Mediano", "Pequeño"))</f>
        <v>Pequeño</v>
      </c>
    </row>
    <row r="915" spans="2:15" x14ac:dyDescent="0.25">
      <c r="B915">
        <v>912</v>
      </c>
      <c r="C915" s="1">
        <v>44821</v>
      </c>
      <c r="D915" t="s">
        <v>10</v>
      </c>
      <c r="E915" t="s">
        <v>11</v>
      </c>
      <c r="F915">
        <v>20</v>
      </c>
      <c r="G915">
        <v>6</v>
      </c>
      <c r="H915">
        <v>120</v>
      </c>
      <c r="I915" t="s">
        <v>15</v>
      </c>
      <c r="J915" t="s">
        <v>12</v>
      </c>
      <c r="K915" t="s">
        <v>20</v>
      </c>
      <c r="L915">
        <f t="shared" si="42"/>
        <v>2022</v>
      </c>
      <c r="M915" s="13">
        <f t="shared" si="43"/>
        <v>44805</v>
      </c>
      <c r="N915" t="str">
        <f t="shared" si="44"/>
        <v>Cash</v>
      </c>
      <c r="O915" t="str">
        <f>IF(Tabla22[[#This Row],[quantity]]&gt;=umbral_grande, "Grande", IF(Tabla22[[#This Row],[quantity]]&gt;=umbral_mediano,"Mediano", "Pequeño"))</f>
        <v>Mediano</v>
      </c>
    </row>
    <row r="916" spans="2:15" x14ac:dyDescent="0.25">
      <c r="B916">
        <v>913</v>
      </c>
      <c r="C916" s="1">
        <v>44972</v>
      </c>
      <c r="D916" t="s">
        <v>24</v>
      </c>
      <c r="E916" t="s">
        <v>11</v>
      </c>
      <c r="F916">
        <v>50</v>
      </c>
      <c r="G916">
        <v>15</v>
      </c>
      <c r="H916">
        <v>750</v>
      </c>
      <c r="I916" t="s">
        <v>19</v>
      </c>
      <c r="J916" t="s">
        <v>12</v>
      </c>
      <c r="K916" t="s">
        <v>20</v>
      </c>
      <c r="L916">
        <f t="shared" si="42"/>
        <v>2023</v>
      </c>
      <c r="M916" s="13">
        <f t="shared" si="43"/>
        <v>44958</v>
      </c>
      <c r="N916" t="str">
        <f t="shared" si="44"/>
        <v>Online</v>
      </c>
      <c r="O916" t="str">
        <f>IF(Tabla22[[#This Row],[quantity]]&gt;=umbral_grande, "Grande", IF(Tabla22[[#This Row],[quantity]]&gt;=umbral_mediano,"Mediano", "Pequeño"))</f>
        <v>Grande</v>
      </c>
    </row>
    <row r="917" spans="2:15" x14ac:dyDescent="0.25">
      <c r="B917">
        <v>914</v>
      </c>
      <c r="C917" s="1">
        <v>44986</v>
      </c>
      <c r="D917" t="s">
        <v>25</v>
      </c>
      <c r="E917" t="s">
        <v>11</v>
      </c>
      <c r="F917">
        <v>60</v>
      </c>
      <c r="G917">
        <v>14</v>
      </c>
      <c r="H917">
        <v>840</v>
      </c>
      <c r="I917" t="s">
        <v>15</v>
      </c>
      <c r="J917" t="s">
        <v>12</v>
      </c>
      <c r="K917" t="s">
        <v>13</v>
      </c>
      <c r="L917">
        <f t="shared" si="42"/>
        <v>2023</v>
      </c>
      <c r="M917" s="13">
        <f t="shared" si="43"/>
        <v>44986</v>
      </c>
      <c r="N917" t="str">
        <f t="shared" si="44"/>
        <v>Cash</v>
      </c>
      <c r="O917" t="str">
        <f>IF(Tabla22[[#This Row],[quantity]]&gt;=umbral_grande, "Grande", IF(Tabla22[[#This Row],[quantity]]&gt;=umbral_mediano,"Mediano", "Pequeño"))</f>
        <v>Grande</v>
      </c>
    </row>
    <row r="918" spans="2:15" x14ac:dyDescent="0.25">
      <c r="B918">
        <v>915</v>
      </c>
      <c r="C918" s="1">
        <v>44841</v>
      </c>
      <c r="D918" t="s">
        <v>27</v>
      </c>
      <c r="E918" t="s">
        <v>18</v>
      </c>
      <c r="F918">
        <v>40</v>
      </c>
      <c r="G918">
        <v>7</v>
      </c>
      <c r="H918">
        <v>280</v>
      </c>
      <c r="I918" t="s">
        <v>19</v>
      </c>
      <c r="J918" t="s">
        <v>12</v>
      </c>
      <c r="K918" t="s">
        <v>16</v>
      </c>
      <c r="L918">
        <f t="shared" si="42"/>
        <v>2022</v>
      </c>
      <c r="M918" s="13">
        <f t="shared" si="43"/>
        <v>44835</v>
      </c>
      <c r="N918" t="str">
        <f t="shared" si="44"/>
        <v>Online</v>
      </c>
      <c r="O918" t="str">
        <f>IF(Tabla22[[#This Row],[quantity]]&gt;=umbral_grande, "Grande", IF(Tabla22[[#This Row],[quantity]]&gt;=umbral_mediano,"Mediano", "Pequeño"))</f>
        <v>Mediano</v>
      </c>
    </row>
    <row r="919" spans="2:15" x14ac:dyDescent="0.25">
      <c r="B919">
        <v>916</v>
      </c>
      <c r="C919" s="1">
        <v>44882</v>
      </c>
      <c r="D919" t="s">
        <v>27</v>
      </c>
      <c r="E919" t="s">
        <v>18</v>
      </c>
      <c r="F919">
        <v>40</v>
      </c>
      <c r="G919">
        <v>15</v>
      </c>
      <c r="H919">
        <v>600</v>
      </c>
      <c r="J919" t="s">
        <v>22</v>
      </c>
      <c r="K919" t="s">
        <v>16</v>
      </c>
      <c r="L919">
        <f t="shared" si="42"/>
        <v>2022</v>
      </c>
      <c r="M919" s="13">
        <f t="shared" si="43"/>
        <v>44866</v>
      </c>
      <c r="N919" t="str">
        <f t="shared" si="44"/>
        <v>Sin registrar</v>
      </c>
      <c r="O919" t="str">
        <f>IF(Tabla22[[#This Row],[quantity]]&gt;=umbral_grande, "Grande", IF(Tabla22[[#This Row],[quantity]]&gt;=umbral_mediano,"Mediano", "Pequeño"))</f>
        <v>Grande</v>
      </c>
    </row>
    <row r="920" spans="2:15" x14ac:dyDescent="0.25">
      <c r="B920">
        <v>917</v>
      </c>
      <c r="C920" s="1">
        <v>44696</v>
      </c>
      <c r="D920" t="s">
        <v>14</v>
      </c>
      <c r="E920" t="s">
        <v>11</v>
      </c>
      <c r="F920">
        <v>20</v>
      </c>
      <c r="G920">
        <v>15</v>
      </c>
      <c r="H920">
        <v>300</v>
      </c>
      <c r="I920" t="s">
        <v>19</v>
      </c>
      <c r="J920" t="s">
        <v>12</v>
      </c>
      <c r="K920" t="s">
        <v>20</v>
      </c>
      <c r="L920">
        <f t="shared" si="42"/>
        <v>2022</v>
      </c>
      <c r="M920" s="13">
        <f t="shared" si="43"/>
        <v>44682</v>
      </c>
      <c r="N920" t="str">
        <f t="shared" si="44"/>
        <v>Online</v>
      </c>
      <c r="O920" t="str">
        <f>IF(Tabla22[[#This Row],[quantity]]&gt;=umbral_grande, "Grande", IF(Tabla22[[#This Row],[quantity]]&gt;=umbral_mediano,"Mediano", "Pequeño"))</f>
        <v>Grande</v>
      </c>
    </row>
    <row r="921" spans="2:15" x14ac:dyDescent="0.25">
      <c r="B921">
        <v>918</v>
      </c>
      <c r="C921" s="1">
        <v>44877</v>
      </c>
      <c r="D921" t="s">
        <v>21</v>
      </c>
      <c r="E921" t="s">
        <v>11</v>
      </c>
      <c r="F921">
        <v>20</v>
      </c>
      <c r="G921">
        <v>6</v>
      </c>
      <c r="H921">
        <v>120</v>
      </c>
      <c r="I921" t="s">
        <v>15</v>
      </c>
      <c r="J921" t="s">
        <v>12</v>
      </c>
      <c r="K921" t="s">
        <v>20</v>
      </c>
      <c r="L921">
        <f t="shared" si="42"/>
        <v>2022</v>
      </c>
      <c r="M921" s="13">
        <f t="shared" si="43"/>
        <v>44866</v>
      </c>
      <c r="N921" t="str">
        <f t="shared" si="44"/>
        <v>Cash</v>
      </c>
      <c r="O921" t="str">
        <f>IF(Tabla22[[#This Row],[quantity]]&gt;=umbral_grande, "Grande", IF(Tabla22[[#This Row],[quantity]]&gt;=umbral_mediano,"Mediano", "Pequeño"))</f>
        <v>Mediano</v>
      </c>
    </row>
    <row r="922" spans="2:15" x14ac:dyDescent="0.25">
      <c r="B922">
        <v>919</v>
      </c>
      <c r="C922" s="1">
        <v>44929</v>
      </c>
      <c r="D922" t="s">
        <v>14</v>
      </c>
      <c r="E922" t="s">
        <v>11</v>
      </c>
      <c r="F922">
        <v>20</v>
      </c>
      <c r="G922">
        <v>8</v>
      </c>
      <c r="H922">
        <v>160</v>
      </c>
      <c r="I922" t="s">
        <v>19</v>
      </c>
      <c r="J922" t="s">
        <v>22</v>
      </c>
      <c r="K922" t="s">
        <v>20</v>
      </c>
      <c r="L922">
        <f t="shared" si="42"/>
        <v>2023</v>
      </c>
      <c r="M922" s="13">
        <f t="shared" si="43"/>
        <v>44927</v>
      </c>
      <c r="N922" t="str">
        <f t="shared" si="44"/>
        <v>Online</v>
      </c>
      <c r="O922" t="str">
        <f>IF(Tabla22[[#This Row],[quantity]]&gt;=umbral_grande, "Grande", IF(Tabla22[[#This Row],[quantity]]&gt;=umbral_mediano,"Mediano", "Pequeño"))</f>
        <v>Mediano</v>
      </c>
    </row>
    <row r="923" spans="2:15" x14ac:dyDescent="0.25">
      <c r="B923">
        <v>920</v>
      </c>
      <c r="C923" s="1">
        <v>44754</v>
      </c>
      <c r="D923" t="s">
        <v>24</v>
      </c>
      <c r="E923" t="s">
        <v>11</v>
      </c>
      <c r="F923">
        <v>50</v>
      </c>
      <c r="G923">
        <v>13</v>
      </c>
      <c r="H923">
        <v>650</v>
      </c>
      <c r="I923" t="s">
        <v>19</v>
      </c>
      <c r="J923" t="s">
        <v>12</v>
      </c>
      <c r="K923" t="s">
        <v>20</v>
      </c>
      <c r="L923">
        <f t="shared" si="42"/>
        <v>2022</v>
      </c>
      <c r="M923" s="13">
        <f t="shared" si="43"/>
        <v>44743</v>
      </c>
      <c r="N923" t="str">
        <f t="shared" si="44"/>
        <v>Online</v>
      </c>
      <c r="O923" t="str">
        <f>IF(Tabla22[[#This Row],[quantity]]&gt;=umbral_grande, "Grande", IF(Tabla22[[#This Row],[quantity]]&gt;=umbral_mediano,"Mediano", "Pequeño"))</f>
        <v>Grande</v>
      </c>
    </row>
    <row r="924" spans="2:15" x14ac:dyDescent="0.25">
      <c r="B924">
        <v>921</v>
      </c>
      <c r="C924" s="1">
        <v>44825</v>
      </c>
      <c r="D924" t="s">
        <v>14</v>
      </c>
      <c r="E924" t="s">
        <v>11</v>
      </c>
      <c r="F924">
        <v>20</v>
      </c>
      <c r="G924">
        <v>14</v>
      </c>
      <c r="H924">
        <v>280</v>
      </c>
      <c r="I924" t="s">
        <v>15</v>
      </c>
      <c r="J924" t="s">
        <v>12</v>
      </c>
      <c r="K924" t="s">
        <v>26</v>
      </c>
      <c r="L924">
        <f t="shared" si="42"/>
        <v>2022</v>
      </c>
      <c r="M924" s="13">
        <f t="shared" si="43"/>
        <v>44805</v>
      </c>
      <c r="N924" t="str">
        <f t="shared" si="44"/>
        <v>Cash</v>
      </c>
      <c r="O924" t="str">
        <f>IF(Tabla22[[#This Row],[quantity]]&gt;=umbral_grande, "Grande", IF(Tabla22[[#This Row],[quantity]]&gt;=umbral_mediano,"Mediano", "Pequeño"))</f>
        <v>Grande</v>
      </c>
    </row>
    <row r="925" spans="2:15" x14ac:dyDescent="0.25">
      <c r="B925">
        <v>922</v>
      </c>
      <c r="C925" s="1">
        <v>44725</v>
      </c>
      <c r="D925" t="s">
        <v>24</v>
      </c>
      <c r="E925" t="s">
        <v>11</v>
      </c>
      <c r="F925">
        <v>50</v>
      </c>
      <c r="G925">
        <v>5</v>
      </c>
      <c r="H925">
        <v>250</v>
      </c>
      <c r="I925" t="s">
        <v>19</v>
      </c>
      <c r="J925" t="s">
        <v>22</v>
      </c>
      <c r="K925" t="s">
        <v>20</v>
      </c>
      <c r="L925">
        <f t="shared" si="42"/>
        <v>2022</v>
      </c>
      <c r="M925" s="13">
        <f t="shared" si="43"/>
        <v>44713</v>
      </c>
      <c r="N925" t="str">
        <f t="shared" si="44"/>
        <v>Online</v>
      </c>
      <c r="O925" t="str">
        <f>IF(Tabla22[[#This Row],[quantity]]&gt;=umbral_grande, "Grande", IF(Tabla22[[#This Row],[quantity]]&gt;=umbral_mediano,"Mediano", "Pequeño"))</f>
        <v>Pequeño</v>
      </c>
    </row>
    <row r="926" spans="2:15" x14ac:dyDescent="0.25">
      <c r="B926">
        <v>923</v>
      </c>
      <c r="C926" s="1">
        <v>44711</v>
      </c>
      <c r="D926" t="s">
        <v>27</v>
      </c>
      <c r="E926" t="s">
        <v>18</v>
      </c>
      <c r="F926">
        <v>40</v>
      </c>
      <c r="G926">
        <v>3</v>
      </c>
      <c r="H926">
        <v>120</v>
      </c>
      <c r="I926" t="s">
        <v>19</v>
      </c>
      <c r="J926" t="s">
        <v>12</v>
      </c>
      <c r="K926" t="s">
        <v>23</v>
      </c>
      <c r="L926">
        <f t="shared" si="42"/>
        <v>2022</v>
      </c>
      <c r="M926" s="13">
        <f t="shared" si="43"/>
        <v>44682</v>
      </c>
      <c r="N926" t="str">
        <f t="shared" si="44"/>
        <v>Online</v>
      </c>
      <c r="O926" t="str">
        <f>IF(Tabla22[[#This Row],[quantity]]&gt;=umbral_grande, "Grande", IF(Tabla22[[#This Row],[quantity]]&gt;=umbral_mediano,"Mediano", "Pequeño"))</f>
        <v>Pequeño</v>
      </c>
    </row>
    <row r="927" spans="2:15" x14ac:dyDescent="0.25">
      <c r="B927">
        <v>924</v>
      </c>
      <c r="C927" s="1">
        <v>44912</v>
      </c>
      <c r="D927" t="s">
        <v>21</v>
      </c>
      <c r="E927" t="s">
        <v>11</v>
      </c>
      <c r="F927">
        <v>20</v>
      </c>
      <c r="G927">
        <v>14</v>
      </c>
      <c r="H927">
        <v>280</v>
      </c>
      <c r="I927" t="s">
        <v>15</v>
      </c>
      <c r="J927" t="s">
        <v>12</v>
      </c>
      <c r="K927" t="s">
        <v>16</v>
      </c>
      <c r="L927">
        <f t="shared" si="42"/>
        <v>2022</v>
      </c>
      <c r="M927" s="13">
        <f t="shared" si="43"/>
        <v>44896</v>
      </c>
      <c r="N927" t="str">
        <f t="shared" si="44"/>
        <v>Cash</v>
      </c>
      <c r="O927" t="str">
        <f>IF(Tabla22[[#This Row],[quantity]]&gt;=umbral_grande, "Grande", IF(Tabla22[[#This Row],[quantity]]&gt;=umbral_mediano,"Mediano", "Pequeño"))</f>
        <v>Grande</v>
      </c>
    </row>
    <row r="928" spans="2:15" x14ac:dyDescent="0.25">
      <c r="B928">
        <v>925</v>
      </c>
      <c r="C928" s="1">
        <v>44661</v>
      </c>
      <c r="D928" t="s">
        <v>24</v>
      </c>
      <c r="E928" t="s">
        <v>11</v>
      </c>
      <c r="F928">
        <v>50</v>
      </c>
      <c r="G928">
        <v>4</v>
      </c>
      <c r="H928">
        <v>200</v>
      </c>
      <c r="I928" t="s">
        <v>19</v>
      </c>
      <c r="J928" t="s">
        <v>22</v>
      </c>
      <c r="K928" t="s">
        <v>16</v>
      </c>
      <c r="L928">
        <f t="shared" si="42"/>
        <v>2022</v>
      </c>
      <c r="M928" s="13">
        <f t="shared" si="43"/>
        <v>44652</v>
      </c>
      <c r="N928" t="str">
        <f t="shared" si="44"/>
        <v>Online</v>
      </c>
      <c r="O928" t="str">
        <f>IF(Tabla22[[#This Row],[quantity]]&gt;=umbral_grande, "Grande", IF(Tabla22[[#This Row],[quantity]]&gt;=umbral_mediano,"Mediano", "Pequeño"))</f>
        <v>Pequeño</v>
      </c>
    </row>
    <row r="929" spans="2:15" x14ac:dyDescent="0.25">
      <c r="B929">
        <v>926</v>
      </c>
      <c r="C929" s="1">
        <v>44984</v>
      </c>
      <c r="D929" t="s">
        <v>24</v>
      </c>
      <c r="E929" t="s">
        <v>11</v>
      </c>
      <c r="F929">
        <v>50</v>
      </c>
      <c r="G929">
        <v>15</v>
      </c>
      <c r="H929">
        <v>750</v>
      </c>
      <c r="I929" t="s">
        <v>15</v>
      </c>
      <c r="J929" t="s">
        <v>22</v>
      </c>
      <c r="K929" t="s">
        <v>16</v>
      </c>
      <c r="L929">
        <f t="shared" si="42"/>
        <v>2023</v>
      </c>
      <c r="M929" s="13">
        <f t="shared" si="43"/>
        <v>44958</v>
      </c>
      <c r="N929" t="str">
        <f t="shared" si="44"/>
        <v>Cash</v>
      </c>
      <c r="O929" t="str">
        <f>IF(Tabla22[[#This Row],[quantity]]&gt;=umbral_grande, "Grande", IF(Tabla22[[#This Row],[quantity]]&gt;=umbral_mediano,"Mediano", "Pequeño"))</f>
        <v>Grande</v>
      </c>
    </row>
    <row r="930" spans="2:15" x14ac:dyDescent="0.25">
      <c r="B930">
        <v>927</v>
      </c>
      <c r="C930" s="1">
        <v>44897</v>
      </c>
      <c r="D930" t="s">
        <v>27</v>
      </c>
      <c r="E930" t="s">
        <v>18</v>
      </c>
      <c r="F930">
        <v>40</v>
      </c>
      <c r="G930">
        <v>6</v>
      </c>
      <c r="H930">
        <v>240</v>
      </c>
      <c r="J930" t="s">
        <v>22</v>
      </c>
      <c r="K930" t="s">
        <v>20</v>
      </c>
      <c r="L930">
        <f t="shared" si="42"/>
        <v>2022</v>
      </c>
      <c r="M930" s="13">
        <f t="shared" si="43"/>
        <v>44896</v>
      </c>
      <c r="N930" t="str">
        <f t="shared" si="44"/>
        <v>Sin registrar</v>
      </c>
      <c r="O930" t="str">
        <f>IF(Tabla22[[#This Row],[quantity]]&gt;=umbral_grande, "Grande", IF(Tabla22[[#This Row],[quantity]]&gt;=umbral_mediano,"Mediano", "Pequeño"))</f>
        <v>Mediano</v>
      </c>
    </row>
    <row r="931" spans="2:15" x14ac:dyDescent="0.25">
      <c r="B931">
        <v>928</v>
      </c>
      <c r="C931" s="1">
        <v>44658</v>
      </c>
      <c r="D931" t="s">
        <v>25</v>
      </c>
      <c r="E931" t="s">
        <v>11</v>
      </c>
      <c r="F931">
        <v>60</v>
      </c>
      <c r="G931">
        <v>11</v>
      </c>
      <c r="H931">
        <v>660</v>
      </c>
      <c r="I931" t="s">
        <v>19</v>
      </c>
      <c r="J931" t="s">
        <v>12</v>
      </c>
      <c r="K931" t="s">
        <v>20</v>
      </c>
      <c r="L931">
        <f t="shared" si="42"/>
        <v>2022</v>
      </c>
      <c r="M931" s="13">
        <f t="shared" si="43"/>
        <v>44652</v>
      </c>
      <c r="N931" t="str">
        <f t="shared" si="44"/>
        <v>Online</v>
      </c>
      <c r="O931" t="str">
        <f>IF(Tabla22[[#This Row],[quantity]]&gt;=umbral_grande, "Grande", IF(Tabla22[[#This Row],[quantity]]&gt;=umbral_mediano,"Mediano", "Pequeño"))</f>
        <v>Grande</v>
      </c>
    </row>
    <row r="932" spans="2:15" x14ac:dyDescent="0.25">
      <c r="B932">
        <v>929</v>
      </c>
      <c r="C932" s="1">
        <v>44718</v>
      </c>
      <c r="D932" t="s">
        <v>24</v>
      </c>
      <c r="E932" t="s">
        <v>11</v>
      </c>
      <c r="F932">
        <v>50</v>
      </c>
      <c r="G932">
        <v>9</v>
      </c>
      <c r="H932">
        <v>450</v>
      </c>
      <c r="I932" t="s">
        <v>19</v>
      </c>
      <c r="J932" t="s">
        <v>22</v>
      </c>
      <c r="K932" t="s">
        <v>13</v>
      </c>
      <c r="L932">
        <f t="shared" si="42"/>
        <v>2022</v>
      </c>
      <c r="M932" s="13">
        <f t="shared" si="43"/>
        <v>44713</v>
      </c>
      <c r="N932" t="str">
        <f t="shared" si="44"/>
        <v>Online</v>
      </c>
      <c r="O932" t="str">
        <f>IF(Tabla22[[#This Row],[quantity]]&gt;=umbral_grande, "Grande", IF(Tabla22[[#This Row],[quantity]]&gt;=umbral_mediano,"Mediano", "Pequeño"))</f>
        <v>Mediano</v>
      </c>
    </row>
    <row r="933" spans="2:15" x14ac:dyDescent="0.25">
      <c r="B933">
        <v>930</v>
      </c>
      <c r="C933" s="1">
        <v>44892</v>
      </c>
      <c r="D933" t="s">
        <v>17</v>
      </c>
      <c r="E933" t="s">
        <v>18</v>
      </c>
      <c r="F933">
        <v>25</v>
      </c>
      <c r="G933">
        <v>10</v>
      </c>
      <c r="H933">
        <v>250</v>
      </c>
      <c r="I933" t="s">
        <v>19</v>
      </c>
      <c r="J933" t="s">
        <v>12</v>
      </c>
      <c r="K933" t="s">
        <v>13</v>
      </c>
      <c r="L933">
        <f t="shared" si="42"/>
        <v>2022</v>
      </c>
      <c r="M933" s="13">
        <f t="shared" si="43"/>
        <v>44866</v>
      </c>
      <c r="N933" t="str">
        <f t="shared" si="44"/>
        <v>Online</v>
      </c>
      <c r="O933" t="str">
        <f>IF(Tabla22[[#This Row],[quantity]]&gt;=umbral_grande, "Grande", IF(Tabla22[[#This Row],[quantity]]&gt;=umbral_mediano,"Mediano", "Pequeño"))</f>
        <v>Mediano</v>
      </c>
    </row>
    <row r="934" spans="2:15" x14ac:dyDescent="0.25">
      <c r="B934">
        <v>931</v>
      </c>
      <c r="C934" s="1">
        <v>44738</v>
      </c>
      <c r="D934" t="s">
        <v>10</v>
      </c>
      <c r="E934" t="s">
        <v>11</v>
      </c>
      <c r="F934">
        <v>20</v>
      </c>
      <c r="G934">
        <v>15</v>
      </c>
      <c r="H934">
        <v>300</v>
      </c>
      <c r="I934" t="s">
        <v>15</v>
      </c>
      <c r="J934" t="s">
        <v>12</v>
      </c>
      <c r="K934" t="s">
        <v>16</v>
      </c>
      <c r="L934">
        <f t="shared" si="42"/>
        <v>2022</v>
      </c>
      <c r="M934" s="13">
        <f t="shared" si="43"/>
        <v>44713</v>
      </c>
      <c r="N934" t="str">
        <f t="shared" si="44"/>
        <v>Cash</v>
      </c>
      <c r="O934" t="str">
        <f>IF(Tabla22[[#This Row],[quantity]]&gt;=umbral_grande, "Grande", IF(Tabla22[[#This Row],[quantity]]&gt;=umbral_mediano,"Mediano", "Pequeño"))</f>
        <v>Grande</v>
      </c>
    </row>
    <row r="935" spans="2:15" x14ac:dyDescent="0.25">
      <c r="B935">
        <v>932</v>
      </c>
      <c r="C935" s="1">
        <v>44852</v>
      </c>
      <c r="D935" t="s">
        <v>25</v>
      </c>
      <c r="E935" t="s">
        <v>11</v>
      </c>
      <c r="F935">
        <v>60</v>
      </c>
      <c r="G935">
        <v>9</v>
      </c>
      <c r="H935">
        <v>540</v>
      </c>
      <c r="I935" t="s">
        <v>19</v>
      </c>
      <c r="J935" t="s">
        <v>12</v>
      </c>
      <c r="K935" t="s">
        <v>16</v>
      </c>
      <c r="L935">
        <f t="shared" si="42"/>
        <v>2022</v>
      </c>
      <c r="M935" s="13">
        <f t="shared" si="43"/>
        <v>44835</v>
      </c>
      <c r="N935" t="str">
        <f t="shared" si="44"/>
        <v>Online</v>
      </c>
      <c r="O935" t="str">
        <f>IF(Tabla22[[#This Row],[quantity]]&gt;=umbral_grande, "Grande", IF(Tabla22[[#This Row],[quantity]]&gt;=umbral_mediano,"Mediano", "Pequeño"))</f>
        <v>Mediano</v>
      </c>
    </row>
    <row r="936" spans="2:15" x14ac:dyDescent="0.25">
      <c r="B936">
        <v>933</v>
      </c>
      <c r="C936" s="1">
        <v>44947</v>
      </c>
      <c r="D936" t="s">
        <v>17</v>
      </c>
      <c r="E936" t="s">
        <v>18</v>
      </c>
      <c r="F936">
        <v>25</v>
      </c>
      <c r="G936">
        <v>15</v>
      </c>
      <c r="H936">
        <v>375</v>
      </c>
      <c r="I936" t="s">
        <v>19</v>
      </c>
      <c r="J936" t="s">
        <v>22</v>
      </c>
      <c r="K936" t="s">
        <v>16</v>
      </c>
      <c r="L936">
        <f t="shared" si="42"/>
        <v>2023</v>
      </c>
      <c r="M936" s="13">
        <f t="shared" si="43"/>
        <v>44927</v>
      </c>
      <c r="N936" t="str">
        <f t="shared" si="44"/>
        <v>Online</v>
      </c>
      <c r="O936" t="str">
        <f>IF(Tabla22[[#This Row],[quantity]]&gt;=umbral_grande, "Grande", IF(Tabla22[[#This Row],[quantity]]&gt;=umbral_mediano,"Mediano", "Pequeño"))</f>
        <v>Grande</v>
      </c>
    </row>
    <row r="937" spans="2:15" x14ac:dyDescent="0.25">
      <c r="B937">
        <v>934</v>
      </c>
      <c r="C937" s="1">
        <v>44823</v>
      </c>
      <c r="D937" t="s">
        <v>27</v>
      </c>
      <c r="E937" t="s">
        <v>18</v>
      </c>
      <c r="F937">
        <v>40</v>
      </c>
      <c r="G937">
        <v>4</v>
      </c>
      <c r="H937">
        <v>160</v>
      </c>
      <c r="I937" t="s">
        <v>15</v>
      </c>
      <c r="J937" t="s">
        <v>22</v>
      </c>
      <c r="K937" t="s">
        <v>16</v>
      </c>
      <c r="L937">
        <f t="shared" si="42"/>
        <v>2022</v>
      </c>
      <c r="M937" s="13">
        <f t="shared" si="43"/>
        <v>44805</v>
      </c>
      <c r="N937" t="str">
        <f t="shared" si="44"/>
        <v>Cash</v>
      </c>
      <c r="O937" t="str">
        <f>IF(Tabla22[[#This Row],[quantity]]&gt;=umbral_grande, "Grande", IF(Tabla22[[#This Row],[quantity]]&gt;=umbral_mediano,"Mediano", "Pequeño"))</f>
        <v>Pequeño</v>
      </c>
    </row>
    <row r="938" spans="2:15" x14ac:dyDescent="0.25">
      <c r="B938">
        <v>935</v>
      </c>
      <c r="C938" s="1">
        <v>44974</v>
      </c>
      <c r="D938" t="s">
        <v>25</v>
      </c>
      <c r="E938" t="s">
        <v>11</v>
      </c>
      <c r="F938">
        <v>60</v>
      </c>
      <c r="G938">
        <v>12</v>
      </c>
      <c r="H938">
        <v>720</v>
      </c>
      <c r="I938" t="s">
        <v>15</v>
      </c>
      <c r="J938" t="s">
        <v>12</v>
      </c>
      <c r="K938" t="s">
        <v>26</v>
      </c>
      <c r="L938">
        <f t="shared" si="42"/>
        <v>2023</v>
      </c>
      <c r="M938" s="13">
        <f t="shared" si="43"/>
        <v>44958</v>
      </c>
      <c r="N938" t="str">
        <f t="shared" si="44"/>
        <v>Cash</v>
      </c>
      <c r="O938" t="str">
        <f>IF(Tabla22[[#This Row],[quantity]]&gt;=umbral_grande, "Grande", IF(Tabla22[[#This Row],[quantity]]&gt;=umbral_mediano,"Mediano", "Pequeño"))</f>
        <v>Grande</v>
      </c>
    </row>
    <row r="939" spans="2:15" x14ac:dyDescent="0.25">
      <c r="B939">
        <v>936</v>
      </c>
      <c r="C939" s="1">
        <v>44783</v>
      </c>
      <c r="D939" t="s">
        <v>21</v>
      </c>
      <c r="E939" t="s">
        <v>11</v>
      </c>
      <c r="F939">
        <v>20</v>
      </c>
      <c r="G939">
        <v>2</v>
      </c>
      <c r="H939">
        <v>40</v>
      </c>
      <c r="J939" t="s">
        <v>12</v>
      </c>
      <c r="K939" t="s">
        <v>26</v>
      </c>
      <c r="L939">
        <f t="shared" si="42"/>
        <v>2022</v>
      </c>
      <c r="M939" s="13">
        <f t="shared" si="43"/>
        <v>44774</v>
      </c>
      <c r="N939" t="str">
        <f t="shared" si="44"/>
        <v>Sin registrar</v>
      </c>
      <c r="O939" t="str">
        <f>IF(Tabla22[[#This Row],[quantity]]&gt;=umbral_grande, "Grande", IF(Tabla22[[#This Row],[quantity]]&gt;=umbral_mediano,"Mediano", "Pequeño"))</f>
        <v>Pequeño</v>
      </c>
    </row>
    <row r="940" spans="2:15" x14ac:dyDescent="0.25">
      <c r="B940">
        <v>937</v>
      </c>
      <c r="C940" s="1">
        <v>44734</v>
      </c>
      <c r="D940" t="s">
        <v>21</v>
      </c>
      <c r="E940" t="s">
        <v>11</v>
      </c>
      <c r="F940">
        <v>20</v>
      </c>
      <c r="G940">
        <v>4</v>
      </c>
      <c r="H940">
        <v>80</v>
      </c>
      <c r="I940" t="s">
        <v>15</v>
      </c>
      <c r="J940" t="s">
        <v>12</v>
      </c>
      <c r="K940" t="s">
        <v>13</v>
      </c>
      <c r="L940">
        <f t="shared" si="42"/>
        <v>2022</v>
      </c>
      <c r="M940" s="13">
        <f t="shared" si="43"/>
        <v>44713</v>
      </c>
      <c r="N940" t="str">
        <f t="shared" si="44"/>
        <v>Cash</v>
      </c>
      <c r="O940" t="str">
        <f>IF(Tabla22[[#This Row],[quantity]]&gt;=umbral_grande, "Grande", IF(Tabla22[[#This Row],[quantity]]&gt;=umbral_mediano,"Mediano", "Pequeño"))</f>
        <v>Pequeño</v>
      </c>
    </row>
    <row r="941" spans="2:15" x14ac:dyDescent="0.25">
      <c r="B941">
        <v>938</v>
      </c>
      <c r="C941" s="1">
        <v>44783</v>
      </c>
      <c r="D941" t="s">
        <v>17</v>
      </c>
      <c r="E941" t="s">
        <v>18</v>
      </c>
      <c r="F941">
        <v>25</v>
      </c>
      <c r="G941">
        <v>14</v>
      </c>
      <c r="H941">
        <v>350</v>
      </c>
      <c r="I941" t="s">
        <v>15</v>
      </c>
      <c r="J941" t="s">
        <v>12</v>
      </c>
      <c r="K941" t="s">
        <v>20</v>
      </c>
      <c r="L941">
        <f t="shared" si="42"/>
        <v>2022</v>
      </c>
      <c r="M941" s="13">
        <f t="shared" si="43"/>
        <v>44774</v>
      </c>
      <c r="N941" t="str">
        <f t="shared" si="44"/>
        <v>Cash</v>
      </c>
      <c r="O941" t="str">
        <f>IF(Tabla22[[#This Row],[quantity]]&gt;=umbral_grande, "Grande", IF(Tabla22[[#This Row],[quantity]]&gt;=umbral_mediano,"Mediano", "Pequeño"))</f>
        <v>Grande</v>
      </c>
    </row>
    <row r="942" spans="2:15" x14ac:dyDescent="0.25">
      <c r="B942">
        <v>939</v>
      </c>
      <c r="C942" s="1">
        <v>44976</v>
      </c>
      <c r="D942" t="s">
        <v>14</v>
      </c>
      <c r="E942" t="s">
        <v>11</v>
      </c>
      <c r="F942">
        <v>20</v>
      </c>
      <c r="G942">
        <v>15</v>
      </c>
      <c r="H942">
        <v>300</v>
      </c>
      <c r="I942" t="s">
        <v>19</v>
      </c>
      <c r="J942" t="s">
        <v>12</v>
      </c>
      <c r="K942" t="s">
        <v>26</v>
      </c>
      <c r="L942">
        <f t="shared" si="42"/>
        <v>2023</v>
      </c>
      <c r="M942" s="13">
        <f t="shared" si="43"/>
        <v>44958</v>
      </c>
      <c r="N942" t="str">
        <f t="shared" si="44"/>
        <v>Online</v>
      </c>
      <c r="O942" t="str">
        <f>IF(Tabla22[[#This Row],[quantity]]&gt;=umbral_grande, "Grande", IF(Tabla22[[#This Row],[quantity]]&gt;=umbral_mediano,"Mediano", "Pequeño"))</f>
        <v>Grande</v>
      </c>
    </row>
    <row r="943" spans="2:15" x14ac:dyDescent="0.25">
      <c r="B943">
        <v>940</v>
      </c>
      <c r="C943" s="1">
        <v>44964</v>
      </c>
      <c r="D943" t="s">
        <v>17</v>
      </c>
      <c r="E943" t="s">
        <v>18</v>
      </c>
      <c r="F943">
        <v>25</v>
      </c>
      <c r="G943">
        <v>14</v>
      </c>
      <c r="H943">
        <v>350</v>
      </c>
      <c r="I943" t="s">
        <v>19</v>
      </c>
      <c r="J943" t="s">
        <v>22</v>
      </c>
      <c r="K943" t="s">
        <v>26</v>
      </c>
      <c r="L943">
        <f t="shared" si="42"/>
        <v>2023</v>
      </c>
      <c r="M943" s="13">
        <f t="shared" si="43"/>
        <v>44958</v>
      </c>
      <c r="N943" t="str">
        <f t="shared" si="44"/>
        <v>Online</v>
      </c>
      <c r="O943" t="str">
        <f>IF(Tabla22[[#This Row],[quantity]]&gt;=umbral_grande, "Grande", IF(Tabla22[[#This Row],[quantity]]&gt;=umbral_mediano,"Mediano", "Pequeño"))</f>
        <v>Grande</v>
      </c>
    </row>
    <row r="944" spans="2:15" x14ac:dyDescent="0.25">
      <c r="B944">
        <v>941</v>
      </c>
      <c r="C944" s="1">
        <v>44967</v>
      </c>
      <c r="D944" t="s">
        <v>27</v>
      </c>
      <c r="E944" t="s">
        <v>18</v>
      </c>
      <c r="F944">
        <v>40</v>
      </c>
      <c r="G944">
        <v>10</v>
      </c>
      <c r="H944">
        <v>400</v>
      </c>
      <c r="I944" t="s">
        <v>19</v>
      </c>
      <c r="J944" t="s">
        <v>22</v>
      </c>
      <c r="K944" t="s">
        <v>23</v>
      </c>
      <c r="L944">
        <f t="shared" si="42"/>
        <v>2023</v>
      </c>
      <c r="M944" s="13">
        <f t="shared" si="43"/>
        <v>44958</v>
      </c>
      <c r="N944" t="str">
        <f t="shared" si="44"/>
        <v>Online</v>
      </c>
      <c r="O944" t="str">
        <f>IF(Tabla22[[#This Row],[quantity]]&gt;=umbral_grande, "Grande", IF(Tabla22[[#This Row],[quantity]]&gt;=umbral_mediano,"Mediano", "Pequeño"))</f>
        <v>Mediano</v>
      </c>
    </row>
    <row r="945" spans="2:15" x14ac:dyDescent="0.25">
      <c r="B945">
        <v>942</v>
      </c>
      <c r="C945" s="1">
        <v>44762</v>
      </c>
      <c r="D945" t="s">
        <v>24</v>
      </c>
      <c r="E945" t="s">
        <v>11</v>
      </c>
      <c r="F945">
        <v>50</v>
      </c>
      <c r="G945">
        <v>6</v>
      </c>
      <c r="H945">
        <v>300</v>
      </c>
      <c r="I945" t="s">
        <v>15</v>
      </c>
      <c r="J945" t="s">
        <v>12</v>
      </c>
      <c r="K945" t="s">
        <v>13</v>
      </c>
      <c r="L945">
        <f t="shared" si="42"/>
        <v>2022</v>
      </c>
      <c r="M945" s="13">
        <f t="shared" si="43"/>
        <v>44743</v>
      </c>
      <c r="N945" t="str">
        <f t="shared" si="44"/>
        <v>Cash</v>
      </c>
      <c r="O945" t="str">
        <f>IF(Tabla22[[#This Row],[quantity]]&gt;=umbral_grande, "Grande", IF(Tabla22[[#This Row],[quantity]]&gt;=umbral_mediano,"Mediano", "Pequeño"))</f>
        <v>Mediano</v>
      </c>
    </row>
    <row r="946" spans="2:15" x14ac:dyDescent="0.25">
      <c r="B946">
        <v>943</v>
      </c>
      <c r="C946" s="1">
        <v>44742</v>
      </c>
      <c r="D946" t="s">
        <v>14</v>
      </c>
      <c r="E946" t="s">
        <v>11</v>
      </c>
      <c r="F946">
        <v>20</v>
      </c>
      <c r="G946">
        <v>6</v>
      </c>
      <c r="H946">
        <v>120</v>
      </c>
      <c r="I946" t="s">
        <v>15</v>
      </c>
      <c r="J946" t="s">
        <v>22</v>
      </c>
      <c r="K946" t="s">
        <v>13</v>
      </c>
      <c r="L946">
        <f t="shared" si="42"/>
        <v>2022</v>
      </c>
      <c r="M946" s="13">
        <f t="shared" si="43"/>
        <v>44713</v>
      </c>
      <c r="N946" t="str">
        <f t="shared" si="44"/>
        <v>Cash</v>
      </c>
      <c r="O946" t="str">
        <f>IF(Tabla22[[#This Row],[quantity]]&gt;=umbral_grande, "Grande", IF(Tabla22[[#This Row],[quantity]]&gt;=umbral_mediano,"Mediano", "Pequeño"))</f>
        <v>Mediano</v>
      </c>
    </row>
    <row r="947" spans="2:15" x14ac:dyDescent="0.25">
      <c r="B947">
        <v>944</v>
      </c>
      <c r="C947" s="1">
        <v>44693</v>
      </c>
      <c r="D947" t="s">
        <v>10</v>
      </c>
      <c r="E947" t="s">
        <v>11</v>
      </c>
      <c r="F947">
        <v>20</v>
      </c>
      <c r="G947">
        <v>2</v>
      </c>
      <c r="H947">
        <v>40</v>
      </c>
      <c r="I947" t="s">
        <v>15</v>
      </c>
      <c r="J947" t="s">
        <v>12</v>
      </c>
      <c r="K947" t="s">
        <v>26</v>
      </c>
      <c r="L947">
        <f t="shared" si="42"/>
        <v>2022</v>
      </c>
      <c r="M947" s="13">
        <f t="shared" si="43"/>
        <v>44682</v>
      </c>
      <c r="N947" t="str">
        <f t="shared" si="44"/>
        <v>Cash</v>
      </c>
      <c r="O947" t="str">
        <f>IF(Tabla22[[#This Row],[quantity]]&gt;=umbral_grande, "Grande", IF(Tabla22[[#This Row],[quantity]]&gt;=umbral_mediano,"Mediano", "Pequeño"))</f>
        <v>Pequeño</v>
      </c>
    </row>
    <row r="948" spans="2:15" x14ac:dyDescent="0.25">
      <c r="B948">
        <v>945</v>
      </c>
      <c r="C948" s="1">
        <v>44696</v>
      </c>
      <c r="D948" t="s">
        <v>27</v>
      </c>
      <c r="E948" t="s">
        <v>18</v>
      </c>
      <c r="F948">
        <v>40</v>
      </c>
      <c r="G948">
        <v>2</v>
      </c>
      <c r="H948">
        <v>80</v>
      </c>
      <c r="I948" t="s">
        <v>19</v>
      </c>
      <c r="J948" t="s">
        <v>22</v>
      </c>
      <c r="K948" t="s">
        <v>16</v>
      </c>
      <c r="L948">
        <f t="shared" si="42"/>
        <v>2022</v>
      </c>
      <c r="M948" s="13">
        <f t="shared" si="43"/>
        <v>44682</v>
      </c>
      <c r="N948" t="str">
        <f t="shared" si="44"/>
        <v>Online</v>
      </c>
      <c r="O948" t="str">
        <f>IF(Tabla22[[#This Row],[quantity]]&gt;=umbral_grande, "Grande", IF(Tabla22[[#This Row],[quantity]]&gt;=umbral_mediano,"Mediano", "Pequeño"))</f>
        <v>Pequeño</v>
      </c>
    </row>
    <row r="949" spans="2:15" x14ac:dyDescent="0.25">
      <c r="B949">
        <v>946</v>
      </c>
      <c r="C949" s="1">
        <v>44978</v>
      </c>
      <c r="D949" t="s">
        <v>25</v>
      </c>
      <c r="E949" t="s">
        <v>11</v>
      </c>
      <c r="F949">
        <v>60</v>
      </c>
      <c r="G949">
        <v>8</v>
      </c>
      <c r="H949">
        <v>480</v>
      </c>
      <c r="I949" t="s">
        <v>15</v>
      </c>
      <c r="J949" t="s">
        <v>12</v>
      </c>
      <c r="K949" t="s">
        <v>26</v>
      </c>
      <c r="L949">
        <f t="shared" si="42"/>
        <v>2023</v>
      </c>
      <c r="M949" s="13">
        <f t="shared" si="43"/>
        <v>44958</v>
      </c>
      <c r="N949" t="str">
        <f t="shared" si="44"/>
        <v>Cash</v>
      </c>
      <c r="O949" t="str">
        <f>IF(Tabla22[[#This Row],[quantity]]&gt;=umbral_grande, "Grande", IF(Tabla22[[#This Row],[quantity]]&gt;=umbral_mediano,"Mediano", "Pequeño"))</f>
        <v>Mediano</v>
      </c>
    </row>
    <row r="950" spans="2:15" x14ac:dyDescent="0.25">
      <c r="B950">
        <v>947</v>
      </c>
      <c r="C950" s="1">
        <v>44789</v>
      </c>
      <c r="D950" t="s">
        <v>10</v>
      </c>
      <c r="E950" t="s">
        <v>11</v>
      </c>
      <c r="F950">
        <v>20</v>
      </c>
      <c r="G950">
        <v>11</v>
      </c>
      <c r="H950">
        <v>220</v>
      </c>
      <c r="I950" t="s">
        <v>19</v>
      </c>
      <c r="J950" t="s">
        <v>12</v>
      </c>
      <c r="K950" t="s">
        <v>13</v>
      </c>
      <c r="L950">
        <f t="shared" si="42"/>
        <v>2022</v>
      </c>
      <c r="M950" s="13">
        <f t="shared" si="43"/>
        <v>44774</v>
      </c>
      <c r="N950" t="str">
        <f t="shared" si="44"/>
        <v>Online</v>
      </c>
      <c r="O950" t="str">
        <f>IF(Tabla22[[#This Row],[quantity]]&gt;=umbral_grande, "Grande", IF(Tabla22[[#This Row],[quantity]]&gt;=umbral_mediano,"Mediano", "Pequeño"))</f>
        <v>Grande</v>
      </c>
    </row>
    <row r="951" spans="2:15" x14ac:dyDescent="0.25">
      <c r="B951">
        <v>948</v>
      </c>
      <c r="C951" s="1">
        <v>44942</v>
      </c>
      <c r="D951" t="s">
        <v>25</v>
      </c>
      <c r="E951" t="s">
        <v>11</v>
      </c>
      <c r="F951">
        <v>60</v>
      </c>
      <c r="G951">
        <v>10</v>
      </c>
      <c r="H951">
        <v>600</v>
      </c>
      <c r="I951" t="s">
        <v>19</v>
      </c>
      <c r="J951" t="s">
        <v>12</v>
      </c>
      <c r="K951" t="s">
        <v>20</v>
      </c>
      <c r="L951">
        <f t="shared" si="42"/>
        <v>2023</v>
      </c>
      <c r="M951" s="13">
        <f t="shared" si="43"/>
        <v>44927</v>
      </c>
      <c r="N951" t="str">
        <f t="shared" si="44"/>
        <v>Online</v>
      </c>
      <c r="O951" t="str">
        <f>IF(Tabla22[[#This Row],[quantity]]&gt;=umbral_grande, "Grande", IF(Tabla22[[#This Row],[quantity]]&gt;=umbral_mediano,"Mediano", "Pequeño"))</f>
        <v>Mediano</v>
      </c>
    </row>
    <row r="952" spans="2:15" x14ac:dyDescent="0.25">
      <c r="B952">
        <v>949</v>
      </c>
      <c r="C952" s="1">
        <v>44933</v>
      </c>
      <c r="D952" t="s">
        <v>21</v>
      </c>
      <c r="E952" t="s">
        <v>11</v>
      </c>
      <c r="F952">
        <v>20</v>
      </c>
      <c r="G952">
        <v>1</v>
      </c>
      <c r="H952">
        <v>20</v>
      </c>
      <c r="I952" t="s">
        <v>15</v>
      </c>
      <c r="J952" t="s">
        <v>22</v>
      </c>
      <c r="K952" t="s">
        <v>20</v>
      </c>
      <c r="L952">
        <f t="shared" si="42"/>
        <v>2023</v>
      </c>
      <c r="M952" s="13">
        <f t="shared" si="43"/>
        <v>44927</v>
      </c>
      <c r="N952" t="str">
        <f t="shared" si="44"/>
        <v>Cash</v>
      </c>
      <c r="O952" t="str">
        <f>IF(Tabla22[[#This Row],[quantity]]&gt;=umbral_grande, "Grande", IF(Tabla22[[#This Row],[quantity]]&gt;=umbral_mediano,"Mediano", "Pequeño"))</f>
        <v>Pequeño</v>
      </c>
    </row>
    <row r="953" spans="2:15" x14ac:dyDescent="0.25">
      <c r="B953">
        <v>950</v>
      </c>
      <c r="C953" s="1">
        <v>44829</v>
      </c>
      <c r="D953" t="s">
        <v>24</v>
      </c>
      <c r="E953" t="s">
        <v>11</v>
      </c>
      <c r="F953">
        <v>50</v>
      </c>
      <c r="G953">
        <v>6</v>
      </c>
      <c r="H953">
        <v>300</v>
      </c>
      <c r="I953" t="s">
        <v>19</v>
      </c>
      <c r="J953" t="s">
        <v>22</v>
      </c>
      <c r="K953" t="s">
        <v>20</v>
      </c>
      <c r="L953">
        <f t="shared" si="42"/>
        <v>2022</v>
      </c>
      <c r="M953" s="13">
        <f t="shared" si="43"/>
        <v>44805</v>
      </c>
      <c r="N953" t="str">
        <f t="shared" si="44"/>
        <v>Online</v>
      </c>
      <c r="O953" t="str">
        <f>IF(Tabla22[[#This Row],[quantity]]&gt;=umbral_grande, "Grande", IF(Tabla22[[#This Row],[quantity]]&gt;=umbral_mediano,"Mediano", "Pequeño"))</f>
        <v>Mediano</v>
      </c>
    </row>
    <row r="954" spans="2:15" x14ac:dyDescent="0.25">
      <c r="B954">
        <v>951</v>
      </c>
      <c r="C954" s="1">
        <v>44876</v>
      </c>
      <c r="D954" t="s">
        <v>21</v>
      </c>
      <c r="E954" t="s">
        <v>11</v>
      </c>
      <c r="F954">
        <v>20</v>
      </c>
      <c r="G954">
        <v>11</v>
      </c>
      <c r="H954">
        <v>220</v>
      </c>
      <c r="I954" t="s">
        <v>15</v>
      </c>
      <c r="J954" t="s">
        <v>22</v>
      </c>
      <c r="K954" t="s">
        <v>16</v>
      </c>
      <c r="L954">
        <f t="shared" si="42"/>
        <v>2022</v>
      </c>
      <c r="M954" s="13">
        <f t="shared" si="43"/>
        <v>44866</v>
      </c>
      <c r="N954" t="str">
        <f t="shared" si="44"/>
        <v>Cash</v>
      </c>
      <c r="O954" t="str">
        <f>IF(Tabla22[[#This Row],[quantity]]&gt;=umbral_grande, "Grande", IF(Tabla22[[#This Row],[quantity]]&gt;=umbral_mediano,"Mediano", "Pequeño"))</f>
        <v>Grande</v>
      </c>
    </row>
    <row r="955" spans="2:15" x14ac:dyDescent="0.25">
      <c r="B955">
        <v>952</v>
      </c>
      <c r="C955" s="1">
        <v>44828</v>
      </c>
      <c r="D955" t="s">
        <v>10</v>
      </c>
      <c r="E955" t="s">
        <v>11</v>
      </c>
      <c r="F955">
        <v>20</v>
      </c>
      <c r="G955">
        <v>14</v>
      </c>
      <c r="H955">
        <v>280</v>
      </c>
      <c r="I955" t="s">
        <v>15</v>
      </c>
      <c r="J955" t="s">
        <v>22</v>
      </c>
      <c r="K955" t="s">
        <v>20</v>
      </c>
      <c r="L955">
        <f t="shared" si="42"/>
        <v>2022</v>
      </c>
      <c r="M955" s="13">
        <f t="shared" si="43"/>
        <v>44805</v>
      </c>
      <c r="N955" t="str">
        <f t="shared" si="44"/>
        <v>Cash</v>
      </c>
      <c r="O955" t="str">
        <f>IF(Tabla22[[#This Row],[quantity]]&gt;=umbral_grande, "Grande", IF(Tabla22[[#This Row],[quantity]]&gt;=umbral_mediano,"Mediano", "Pequeño"))</f>
        <v>Grande</v>
      </c>
    </row>
    <row r="956" spans="2:15" x14ac:dyDescent="0.25">
      <c r="B956">
        <v>953</v>
      </c>
      <c r="C956" s="1">
        <v>44875</v>
      </c>
      <c r="D956" t="s">
        <v>25</v>
      </c>
      <c r="E956" t="s">
        <v>11</v>
      </c>
      <c r="F956">
        <v>60</v>
      </c>
      <c r="G956">
        <v>2</v>
      </c>
      <c r="H956">
        <v>120</v>
      </c>
      <c r="I956" t="s">
        <v>19</v>
      </c>
      <c r="J956" t="s">
        <v>22</v>
      </c>
      <c r="K956" t="s">
        <v>16</v>
      </c>
      <c r="L956">
        <f t="shared" si="42"/>
        <v>2022</v>
      </c>
      <c r="M956" s="13">
        <f t="shared" si="43"/>
        <v>44866</v>
      </c>
      <c r="N956" t="str">
        <f t="shared" si="44"/>
        <v>Online</v>
      </c>
      <c r="O956" t="str">
        <f>IF(Tabla22[[#This Row],[quantity]]&gt;=umbral_grande, "Grande", IF(Tabla22[[#This Row],[quantity]]&gt;=umbral_mediano,"Mediano", "Pequeño"))</f>
        <v>Pequeño</v>
      </c>
    </row>
    <row r="957" spans="2:15" x14ac:dyDescent="0.25">
      <c r="B957">
        <v>954</v>
      </c>
      <c r="C957" s="1">
        <v>44957</v>
      </c>
      <c r="D957" t="s">
        <v>10</v>
      </c>
      <c r="E957" t="s">
        <v>11</v>
      </c>
      <c r="F957">
        <v>20</v>
      </c>
      <c r="G957">
        <v>3</v>
      </c>
      <c r="H957">
        <v>60</v>
      </c>
      <c r="I957" t="s">
        <v>15</v>
      </c>
      <c r="J957" t="s">
        <v>22</v>
      </c>
      <c r="K957" t="s">
        <v>26</v>
      </c>
      <c r="L957">
        <f t="shared" si="42"/>
        <v>2023</v>
      </c>
      <c r="M957" s="13">
        <f t="shared" si="43"/>
        <v>44927</v>
      </c>
      <c r="N957" t="str">
        <f t="shared" si="44"/>
        <v>Cash</v>
      </c>
      <c r="O957" t="str">
        <f>IF(Tabla22[[#This Row],[quantity]]&gt;=umbral_grande, "Grande", IF(Tabla22[[#This Row],[quantity]]&gt;=umbral_mediano,"Mediano", "Pequeño"))</f>
        <v>Pequeño</v>
      </c>
    </row>
    <row r="958" spans="2:15" x14ac:dyDescent="0.25">
      <c r="B958">
        <v>955</v>
      </c>
      <c r="C958" s="1">
        <v>44953</v>
      </c>
      <c r="D958" t="s">
        <v>17</v>
      </c>
      <c r="E958" t="s">
        <v>18</v>
      </c>
      <c r="F958">
        <v>25</v>
      </c>
      <c r="G958">
        <v>7</v>
      </c>
      <c r="H958">
        <v>175</v>
      </c>
      <c r="I958" t="s">
        <v>19</v>
      </c>
      <c r="J958" t="s">
        <v>12</v>
      </c>
      <c r="K958" t="s">
        <v>16</v>
      </c>
      <c r="L958">
        <f t="shared" si="42"/>
        <v>2023</v>
      </c>
      <c r="M958" s="13">
        <f t="shared" si="43"/>
        <v>44927</v>
      </c>
      <c r="N958" t="str">
        <f t="shared" si="44"/>
        <v>Online</v>
      </c>
      <c r="O958" t="str">
        <f>IF(Tabla22[[#This Row],[quantity]]&gt;=umbral_grande, "Grande", IF(Tabla22[[#This Row],[quantity]]&gt;=umbral_mediano,"Mediano", "Pequeño"))</f>
        <v>Mediano</v>
      </c>
    </row>
    <row r="959" spans="2:15" x14ac:dyDescent="0.25">
      <c r="B959">
        <v>956</v>
      </c>
      <c r="C959" s="1">
        <v>44681</v>
      </c>
      <c r="D959" t="s">
        <v>24</v>
      </c>
      <c r="E959" t="s">
        <v>11</v>
      </c>
      <c r="F959">
        <v>50</v>
      </c>
      <c r="G959">
        <v>13</v>
      </c>
      <c r="H959">
        <v>650</v>
      </c>
      <c r="I959" t="s">
        <v>19</v>
      </c>
      <c r="J959" t="s">
        <v>12</v>
      </c>
      <c r="K959" t="s">
        <v>23</v>
      </c>
      <c r="L959">
        <f t="shared" si="42"/>
        <v>2022</v>
      </c>
      <c r="M959" s="13">
        <f t="shared" si="43"/>
        <v>44652</v>
      </c>
      <c r="N959" t="str">
        <f t="shared" si="44"/>
        <v>Online</v>
      </c>
      <c r="O959" t="str">
        <f>IF(Tabla22[[#This Row],[quantity]]&gt;=umbral_grande, "Grande", IF(Tabla22[[#This Row],[quantity]]&gt;=umbral_mediano,"Mediano", "Pequeño"))</f>
        <v>Grande</v>
      </c>
    </row>
    <row r="960" spans="2:15" x14ac:dyDescent="0.25">
      <c r="B960">
        <v>957</v>
      </c>
      <c r="C960" s="1">
        <v>44965</v>
      </c>
      <c r="D960" t="s">
        <v>21</v>
      </c>
      <c r="E960" t="s">
        <v>11</v>
      </c>
      <c r="F960">
        <v>20</v>
      </c>
      <c r="G960">
        <v>3</v>
      </c>
      <c r="H960">
        <v>60</v>
      </c>
      <c r="I960" t="s">
        <v>19</v>
      </c>
      <c r="J960" t="s">
        <v>22</v>
      </c>
      <c r="K960" t="s">
        <v>26</v>
      </c>
      <c r="L960">
        <f t="shared" si="42"/>
        <v>2023</v>
      </c>
      <c r="M960" s="13">
        <f t="shared" si="43"/>
        <v>44958</v>
      </c>
      <c r="N960" t="str">
        <f t="shared" si="44"/>
        <v>Online</v>
      </c>
      <c r="O960" t="str">
        <f>IF(Tabla22[[#This Row],[quantity]]&gt;=umbral_grande, "Grande", IF(Tabla22[[#This Row],[quantity]]&gt;=umbral_mediano,"Mediano", "Pequeño"))</f>
        <v>Pequeño</v>
      </c>
    </row>
    <row r="961" spans="2:15" x14ac:dyDescent="0.25">
      <c r="B961">
        <v>958</v>
      </c>
      <c r="C961" s="1">
        <v>44703</v>
      </c>
      <c r="D961" t="s">
        <v>25</v>
      </c>
      <c r="E961" t="s">
        <v>11</v>
      </c>
      <c r="F961">
        <v>60</v>
      </c>
      <c r="G961">
        <v>11</v>
      </c>
      <c r="H961">
        <v>660</v>
      </c>
      <c r="I961" t="s">
        <v>19</v>
      </c>
      <c r="J961" t="s">
        <v>22</v>
      </c>
      <c r="K961" t="s">
        <v>13</v>
      </c>
      <c r="L961">
        <f t="shared" si="42"/>
        <v>2022</v>
      </c>
      <c r="M961" s="13">
        <f t="shared" si="43"/>
        <v>44682</v>
      </c>
      <c r="N961" t="str">
        <f t="shared" si="44"/>
        <v>Online</v>
      </c>
      <c r="O961" t="str">
        <f>IF(Tabla22[[#This Row],[quantity]]&gt;=umbral_grande, "Grande", IF(Tabla22[[#This Row],[quantity]]&gt;=umbral_mediano,"Mediano", "Pequeño"))</f>
        <v>Grande</v>
      </c>
    </row>
    <row r="962" spans="2:15" x14ac:dyDescent="0.25">
      <c r="B962">
        <v>959</v>
      </c>
      <c r="C962" s="1">
        <v>44893</v>
      </c>
      <c r="D962" t="s">
        <v>14</v>
      </c>
      <c r="E962" t="s">
        <v>11</v>
      </c>
      <c r="F962">
        <v>20</v>
      </c>
      <c r="G962">
        <v>8</v>
      </c>
      <c r="H962">
        <v>160</v>
      </c>
      <c r="I962" t="s">
        <v>19</v>
      </c>
      <c r="J962" t="s">
        <v>22</v>
      </c>
      <c r="K962" t="s">
        <v>26</v>
      </c>
      <c r="L962">
        <f t="shared" si="42"/>
        <v>2022</v>
      </c>
      <c r="M962" s="13">
        <f t="shared" si="43"/>
        <v>44866</v>
      </c>
      <c r="N962" t="str">
        <f t="shared" si="44"/>
        <v>Online</v>
      </c>
      <c r="O962" t="str">
        <f>IF(Tabla22[[#This Row],[quantity]]&gt;=umbral_grande, "Grande", IF(Tabla22[[#This Row],[quantity]]&gt;=umbral_mediano,"Mediano", "Pequeño"))</f>
        <v>Mediano</v>
      </c>
    </row>
    <row r="963" spans="2:15" x14ac:dyDescent="0.25">
      <c r="B963">
        <v>960</v>
      </c>
      <c r="C963" s="1">
        <v>44785</v>
      </c>
      <c r="D963" t="s">
        <v>17</v>
      </c>
      <c r="E963" t="s">
        <v>18</v>
      </c>
      <c r="F963">
        <v>25</v>
      </c>
      <c r="G963">
        <v>15</v>
      </c>
      <c r="H963">
        <v>375</v>
      </c>
      <c r="I963" t="s">
        <v>19</v>
      </c>
      <c r="J963" t="s">
        <v>22</v>
      </c>
      <c r="K963" t="s">
        <v>20</v>
      </c>
      <c r="L963">
        <f t="shared" si="42"/>
        <v>2022</v>
      </c>
      <c r="M963" s="13">
        <f t="shared" si="43"/>
        <v>44774</v>
      </c>
      <c r="N963" t="str">
        <f t="shared" si="44"/>
        <v>Online</v>
      </c>
      <c r="O963" t="str">
        <f>IF(Tabla22[[#This Row],[quantity]]&gt;=umbral_grande, "Grande", IF(Tabla22[[#This Row],[quantity]]&gt;=umbral_mediano,"Mediano", "Pequeño"))</f>
        <v>Grande</v>
      </c>
    </row>
    <row r="964" spans="2:15" x14ac:dyDescent="0.25">
      <c r="B964">
        <v>961</v>
      </c>
      <c r="C964" s="1">
        <v>44999</v>
      </c>
      <c r="D964" t="s">
        <v>24</v>
      </c>
      <c r="E964" t="s">
        <v>11</v>
      </c>
      <c r="F964">
        <v>50</v>
      </c>
      <c r="G964">
        <v>13</v>
      </c>
      <c r="H964">
        <v>650</v>
      </c>
      <c r="I964" t="s">
        <v>15</v>
      </c>
      <c r="J964" t="s">
        <v>12</v>
      </c>
      <c r="K964" t="s">
        <v>13</v>
      </c>
      <c r="L964">
        <f t="shared" si="42"/>
        <v>2023</v>
      </c>
      <c r="M964" s="13">
        <f t="shared" si="43"/>
        <v>44986</v>
      </c>
      <c r="N964" t="str">
        <f t="shared" si="44"/>
        <v>Cash</v>
      </c>
      <c r="O964" t="str">
        <f>IF(Tabla22[[#This Row],[quantity]]&gt;=umbral_grande, "Grande", IF(Tabla22[[#This Row],[quantity]]&gt;=umbral_mediano,"Mediano", "Pequeño"))</f>
        <v>Grande</v>
      </c>
    </row>
    <row r="965" spans="2:15" x14ac:dyDescent="0.25">
      <c r="B965">
        <v>962</v>
      </c>
      <c r="C965" s="1">
        <v>44699</v>
      </c>
      <c r="D965" t="s">
        <v>24</v>
      </c>
      <c r="E965" t="s">
        <v>11</v>
      </c>
      <c r="F965">
        <v>50</v>
      </c>
      <c r="G965">
        <v>13</v>
      </c>
      <c r="H965">
        <v>650</v>
      </c>
      <c r="I965" t="s">
        <v>19</v>
      </c>
      <c r="J965" t="s">
        <v>22</v>
      </c>
      <c r="K965" t="s">
        <v>16</v>
      </c>
      <c r="L965">
        <f t="shared" ref="L965:L1003" si="45">YEAR(C965)</f>
        <v>2022</v>
      </c>
      <c r="M965" s="13">
        <f t="shared" ref="M965:M1003" si="46">DATE(YEAR(C965),MONTH(C965),1)</f>
        <v>44682</v>
      </c>
      <c r="N965" t="str">
        <f t="shared" ref="N965:N1003" si="47">IF(I965 = "", "Sin registrar",I965)</f>
        <v>Online</v>
      </c>
      <c r="O965" t="str">
        <f>IF(Tabla22[[#This Row],[quantity]]&gt;=umbral_grande, "Grande", IF(Tabla22[[#This Row],[quantity]]&gt;=umbral_mediano,"Mediano", "Pequeño"))</f>
        <v>Grande</v>
      </c>
    </row>
    <row r="966" spans="2:15" x14ac:dyDescent="0.25">
      <c r="B966">
        <v>963</v>
      </c>
      <c r="C966" s="1">
        <v>44839</v>
      </c>
      <c r="D966" t="s">
        <v>14</v>
      </c>
      <c r="E966" t="s">
        <v>11</v>
      </c>
      <c r="F966">
        <v>20</v>
      </c>
      <c r="G966">
        <v>6</v>
      </c>
      <c r="H966">
        <v>120</v>
      </c>
      <c r="I966" t="s">
        <v>15</v>
      </c>
      <c r="J966" t="s">
        <v>22</v>
      </c>
      <c r="K966" t="s">
        <v>23</v>
      </c>
      <c r="L966">
        <f t="shared" si="45"/>
        <v>2022</v>
      </c>
      <c r="M966" s="13">
        <f t="shared" si="46"/>
        <v>44835</v>
      </c>
      <c r="N966" t="str">
        <f t="shared" si="47"/>
        <v>Cash</v>
      </c>
      <c r="O966" t="str">
        <f>IF(Tabla22[[#This Row],[quantity]]&gt;=umbral_grande, "Grande", IF(Tabla22[[#This Row],[quantity]]&gt;=umbral_mediano,"Mediano", "Pequeño"))</f>
        <v>Mediano</v>
      </c>
    </row>
    <row r="967" spans="2:15" x14ac:dyDescent="0.25">
      <c r="B967">
        <v>964</v>
      </c>
      <c r="C967" s="1">
        <v>44688</v>
      </c>
      <c r="D967" t="s">
        <v>27</v>
      </c>
      <c r="E967" t="s">
        <v>18</v>
      </c>
      <c r="F967">
        <v>40</v>
      </c>
      <c r="G967">
        <v>8</v>
      </c>
      <c r="H967">
        <v>320</v>
      </c>
      <c r="I967" t="s">
        <v>15</v>
      </c>
      <c r="J967" t="s">
        <v>12</v>
      </c>
      <c r="K967" t="s">
        <v>20</v>
      </c>
      <c r="L967">
        <f t="shared" si="45"/>
        <v>2022</v>
      </c>
      <c r="M967" s="13">
        <f t="shared" si="46"/>
        <v>44682</v>
      </c>
      <c r="N967" t="str">
        <f t="shared" si="47"/>
        <v>Cash</v>
      </c>
      <c r="O967" t="str">
        <f>IF(Tabla22[[#This Row],[quantity]]&gt;=umbral_grande, "Grande", IF(Tabla22[[#This Row],[quantity]]&gt;=umbral_mediano,"Mediano", "Pequeño"))</f>
        <v>Mediano</v>
      </c>
    </row>
    <row r="968" spans="2:15" x14ac:dyDescent="0.25">
      <c r="B968">
        <v>965</v>
      </c>
      <c r="C968" s="1">
        <v>44842</v>
      </c>
      <c r="D968" t="s">
        <v>24</v>
      </c>
      <c r="E968" t="s">
        <v>11</v>
      </c>
      <c r="F968">
        <v>50</v>
      </c>
      <c r="G968">
        <v>5</v>
      </c>
      <c r="H968">
        <v>250</v>
      </c>
      <c r="I968" t="s">
        <v>19</v>
      </c>
      <c r="J968" t="s">
        <v>22</v>
      </c>
      <c r="K968" t="s">
        <v>13</v>
      </c>
      <c r="L968">
        <f t="shared" si="45"/>
        <v>2022</v>
      </c>
      <c r="M968" s="13">
        <f t="shared" si="46"/>
        <v>44835</v>
      </c>
      <c r="N968" t="str">
        <f t="shared" si="47"/>
        <v>Online</v>
      </c>
      <c r="O968" t="str">
        <f>IF(Tabla22[[#This Row],[quantity]]&gt;=umbral_grande, "Grande", IF(Tabla22[[#This Row],[quantity]]&gt;=umbral_mediano,"Mediano", "Pequeño"))</f>
        <v>Pequeño</v>
      </c>
    </row>
    <row r="969" spans="2:15" x14ac:dyDescent="0.25">
      <c r="B969">
        <v>966</v>
      </c>
      <c r="C969" s="1">
        <v>45004</v>
      </c>
      <c r="D969" t="s">
        <v>21</v>
      </c>
      <c r="E969" t="s">
        <v>11</v>
      </c>
      <c r="F969">
        <v>20</v>
      </c>
      <c r="G969">
        <v>11</v>
      </c>
      <c r="H969">
        <v>220</v>
      </c>
      <c r="I969" t="s">
        <v>19</v>
      </c>
      <c r="J969" t="s">
        <v>22</v>
      </c>
      <c r="K969" t="s">
        <v>23</v>
      </c>
      <c r="L969">
        <f t="shared" si="45"/>
        <v>2023</v>
      </c>
      <c r="M969" s="13">
        <f t="shared" si="46"/>
        <v>44986</v>
      </c>
      <c r="N969" t="str">
        <f t="shared" si="47"/>
        <v>Online</v>
      </c>
      <c r="O969" t="str">
        <f>IF(Tabla22[[#This Row],[quantity]]&gt;=umbral_grande, "Grande", IF(Tabla22[[#This Row],[quantity]]&gt;=umbral_mediano,"Mediano", "Pequeño"))</f>
        <v>Grande</v>
      </c>
    </row>
    <row r="970" spans="2:15" x14ac:dyDescent="0.25">
      <c r="B970">
        <v>967</v>
      </c>
      <c r="C970" s="1">
        <v>44741</v>
      </c>
      <c r="D970" t="s">
        <v>27</v>
      </c>
      <c r="E970" t="s">
        <v>18</v>
      </c>
      <c r="F970">
        <v>40</v>
      </c>
      <c r="G970">
        <v>14</v>
      </c>
      <c r="H970">
        <v>560</v>
      </c>
      <c r="I970" t="s">
        <v>15</v>
      </c>
      <c r="J970" t="s">
        <v>12</v>
      </c>
      <c r="K970" t="s">
        <v>16</v>
      </c>
      <c r="L970">
        <f t="shared" si="45"/>
        <v>2022</v>
      </c>
      <c r="M970" s="13">
        <f t="shared" si="46"/>
        <v>44713</v>
      </c>
      <c r="N970" t="str">
        <f t="shared" si="47"/>
        <v>Cash</v>
      </c>
      <c r="O970" t="str">
        <f>IF(Tabla22[[#This Row],[quantity]]&gt;=umbral_grande, "Grande", IF(Tabla22[[#This Row],[quantity]]&gt;=umbral_mediano,"Mediano", "Pequeño"))</f>
        <v>Grande</v>
      </c>
    </row>
    <row r="971" spans="2:15" x14ac:dyDescent="0.25">
      <c r="B971">
        <v>968</v>
      </c>
      <c r="C971" s="1">
        <v>44782</v>
      </c>
      <c r="D971" t="s">
        <v>27</v>
      </c>
      <c r="E971" t="s">
        <v>18</v>
      </c>
      <c r="F971">
        <v>40</v>
      </c>
      <c r="G971">
        <v>15</v>
      </c>
      <c r="H971">
        <v>600</v>
      </c>
      <c r="I971" t="s">
        <v>15</v>
      </c>
      <c r="J971" t="s">
        <v>22</v>
      </c>
      <c r="K971" t="s">
        <v>23</v>
      </c>
      <c r="L971">
        <f t="shared" si="45"/>
        <v>2022</v>
      </c>
      <c r="M971" s="13">
        <f t="shared" si="46"/>
        <v>44774</v>
      </c>
      <c r="N971" t="str">
        <f t="shared" si="47"/>
        <v>Cash</v>
      </c>
      <c r="O971" t="str">
        <f>IF(Tabla22[[#This Row],[quantity]]&gt;=umbral_grande, "Grande", IF(Tabla22[[#This Row],[quantity]]&gt;=umbral_mediano,"Mediano", "Pequeño"))</f>
        <v>Grande</v>
      </c>
    </row>
    <row r="972" spans="2:15" x14ac:dyDescent="0.25">
      <c r="B972">
        <v>969</v>
      </c>
      <c r="C972" s="1">
        <v>44871</v>
      </c>
      <c r="D972" t="s">
        <v>27</v>
      </c>
      <c r="E972" t="s">
        <v>18</v>
      </c>
      <c r="F972">
        <v>40</v>
      </c>
      <c r="G972">
        <v>11</v>
      </c>
      <c r="H972">
        <v>440</v>
      </c>
      <c r="I972" t="s">
        <v>15</v>
      </c>
      <c r="J972" t="s">
        <v>12</v>
      </c>
      <c r="K972" t="s">
        <v>23</v>
      </c>
      <c r="L972">
        <f t="shared" si="45"/>
        <v>2022</v>
      </c>
      <c r="M972" s="13">
        <f t="shared" si="46"/>
        <v>44866</v>
      </c>
      <c r="N972" t="str">
        <f t="shared" si="47"/>
        <v>Cash</v>
      </c>
      <c r="O972" t="str">
        <f>IF(Tabla22[[#This Row],[quantity]]&gt;=umbral_grande, "Grande", IF(Tabla22[[#This Row],[quantity]]&gt;=umbral_mediano,"Mediano", "Pequeño"))</f>
        <v>Grande</v>
      </c>
    </row>
    <row r="973" spans="2:15" x14ac:dyDescent="0.25">
      <c r="B973">
        <v>970</v>
      </c>
      <c r="C973" s="1">
        <v>44886</v>
      </c>
      <c r="D973" t="s">
        <v>10</v>
      </c>
      <c r="E973" t="s">
        <v>11</v>
      </c>
      <c r="F973">
        <v>20</v>
      </c>
      <c r="G973">
        <v>5</v>
      </c>
      <c r="H973">
        <v>100</v>
      </c>
      <c r="I973" t="s">
        <v>19</v>
      </c>
      <c r="J973" t="s">
        <v>22</v>
      </c>
      <c r="K973" t="s">
        <v>16</v>
      </c>
      <c r="L973">
        <f t="shared" si="45"/>
        <v>2022</v>
      </c>
      <c r="M973" s="13">
        <f t="shared" si="46"/>
        <v>44866</v>
      </c>
      <c r="N973" t="str">
        <f t="shared" si="47"/>
        <v>Online</v>
      </c>
      <c r="O973" t="str">
        <f>IF(Tabla22[[#This Row],[quantity]]&gt;=umbral_grande, "Grande", IF(Tabla22[[#This Row],[quantity]]&gt;=umbral_mediano,"Mediano", "Pequeño"))</f>
        <v>Pequeño</v>
      </c>
    </row>
    <row r="974" spans="2:15" x14ac:dyDescent="0.25">
      <c r="B974">
        <v>971</v>
      </c>
      <c r="C974" s="1">
        <v>44836</v>
      </c>
      <c r="D974" t="s">
        <v>24</v>
      </c>
      <c r="E974" t="s">
        <v>11</v>
      </c>
      <c r="F974">
        <v>50</v>
      </c>
      <c r="G974">
        <v>2</v>
      </c>
      <c r="H974">
        <v>100</v>
      </c>
      <c r="I974" t="s">
        <v>15</v>
      </c>
      <c r="J974" t="s">
        <v>22</v>
      </c>
      <c r="K974" t="s">
        <v>23</v>
      </c>
      <c r="L974">
        <f t="shared" si="45"/>
        <v>2022</v>
      </c>
      <c r="M974" s="13">
        <f t="shared" si="46"/>
        <v>44835</v>
      </c>
      <c r="N974" t="str">
        <f t="shared" si="47"/>
        <v>Cash</v>
      </c>
      <c r="O974" t="str">
        <f>IF(Tabla22[[#This Row],[quantity]]&gt;=umbral_grande, "Grande", IF(Tabla22[[#This Row],[quantity]]&gt;=umbral_mediano,"Mediano", "Pequeño"))</f>
        <v>Pequeño</v>
      </c>
    </row>
    <row r="975" spans="2:15" x14ac:dyDescent="0.25">
      <c r="B975">
        <v>972</v>
      </c>
      <c r="C975" s="1">
        <v>44996</v>
      </c>
      <c r="D975" t="s">
        <v>10</v>
      </c>
      <c r="E975" t="s">
        <v>11</v>
      </c>
      <c r="F975">
        <v>20</v>
      </c>
      <c r="G975">
        <v>1</v>
      </c>
      <c r="H975">
        <v>20</v>
      </c>
      <c r="I975" t="s">
        <v>15</v>
      </c>
      <c r="J975" t="s">
        <v>22</v>
      </c>
      <c r="K975" t="s">
        <v>16</v>
      </c>
      <c r="L975">
        <f t="shared" si="45"/>
        <v>2023</v>
      </c>
      <c r="M975" s="13">
        <f t="shared" si="46"/>
        <v>44986</v>
      </c>
      <c r="N975" t="str">
        <f t="shared" si="47"/>
        <v>Cash</v>
      </c>
      <c r="O975" t="str">
        <f>IF(Tabla22[[#This Row],[quantity]]&gt;=umbral_grande, "Grande", IF(Tabla22[[#This Row],[quantity]]&gt;=umbral_mediano,"Mediano", "Pequeño"))</f>
        <v>Pequeño</v>
      </c>
    </row>
    <row r="976" spans="2:15" x14ac:dyDescent="0.25">
      <c r="B976">
        <v>973</v>
      </c>
      <c r="C976" s="1">
        <v>44719</v>
      </c>
      <c r="D976" t="s">
        <v>17</v>
      </c>
      <c r="E976" t="s">
        <v>18</v>
      </c>
      <c r="F976">
        <v>25</v>
      </c>
      <c r="G976">
        <v>1</v>
      </c>
      <c r="H976">
        <v>25</v>
      </c>
      <c r="J976" t="s">
        <v>22</v>
      </c>
      <c r="K976" t="s">
        <v>23</v>
      </c>
      <c r="L976">
        <f t="shared" si="45"/>
        <v>2022</v>
      </c>
      <c r="M976" s="13">
        <f t="shared" si="46"/>
        <v>44713</v>
      </c>
      <c r="N976" t="str">
        <f t="shared" si="47"/>
        <v>Sin registrar</v>
      </c>
      <c r="O976" t="str">
        <f>IF(Tabla22[[#This Row],[quantity]]&gt;=umbral_grande, "Grande", IF(Tabla22[[#This Row],[quantity]]&gt;=umbral_mediano,"Mediano", "Pequeño"))</f>
        <v>Pequeño</v>
      </c>
    </row>
    <row r="977" spans="2:15" x14ac:dyDescent="0.25">
      <c r="B977">
        <v>974</v>
      </c>
      <c r="C977" s="1">
        <v>44954</v>
      </c>
      <c r="D977" t="s">
        <v>14</v>
      </c>
      <c r="E977" t="s">
        <v>11</v>
      </c>
      <c r="F977">
        <v>20</v>
      </c>
      <c r="G977">
        <v>13</v>
      </c>
      <c r="H977">
        <v>260</v>
      </c>
      <c r="I977" t="s">
        <v>19</v>
      </c>
      <c r="J977" t="s">
        <v>12</v>
      </c>
      <c r="K977" t="s">
        <v>16</v>
      </c>
      <c r="L977">
        <f t="shared" si="45"/>
        <v>2023</v>
      </c>
      <c r="M977" s="13">
        <f t="shared" si="46"/>
        <v>44927</v>
      </c>
      <c r="N977" t="str">
        <f t="shared" si="47"/>
        <v>Online</v>
      </c>
      <c r="O977" t="str">
        <f>IF(Tabla22[[#This Row],[quantity]]&gt;=umbral_grande, "Grande", IF(Tabla22[[#This Row],[quantity]]&gt;=umbral_mediano,"Mediano", "Pequeño"))</f>
        <v>Grande</v>
      </c>
    </row>
    <row r="978" spans="2:15" x14ac:dyDescent="0.25">
      <c r="B978">
        <v>975</v>
      </c>
      <c r="C978" s="1">
        <v>44941</v>
      </c>
      <c r="D978" t="s">
        <v>10</v>
      </c>
      <c r="E978" t="s">
        <v>11</v>
      </c>
      <c r="F978">
        <v>20</v>
      </c>
      <c r="G978">
        <v>1</v>
      </c>
      <c r="H978">
        <v>20</v>
      </c>
      <c r="I978" t="s">
        <v>15</v>
      </c>
      <c r="J978" t="s">
        <v>12</v>
      </c>
      <c r="K978" t="s">
        <v>26</v>
      </c>
      <c r="L978">
        <f t="shared" si="45"/>
        <v>2023</v>
      </c>
      <c r="M978" s="13">
        <f t="shared" si="46"/>
        <v>44927</v>
      </c>
      <c r="N978" t="str">
        <f t="shared" si="47"/>
        <v>Cash</v>
      </c>
      <c r="O978" t="str">
        <f>IF(Tabla22[[#This Row],[quantity]]&gt;=umbral_grande, "Grande", IF(Tabla22[[#This Row],[quantity]]&gt;=umbral_mediano,"Mediano", "Pequeño"))</f>
        <v>Pequeño</v>
      </c>
    </row>
    <row r="979" spans="2:15" x14ac:dyDescent="0.25">
      <c r="B979">
        <v>976</v>
      </c>
      <c r="C979" s="1">
        <v>44668</v>
      </c>
      <c r="D979" t="s">
        <v>17</v>
      </c>
      <c r="E979" t="s">
        <v>18</v>
      </c>
      <c r="F979">
        <v>25</v>
      </c>
      <c r="G979">
        <v>11</v>
      </c>
      <c r="H979">
        <v>275</v>
      </c>
      <c r="J979" t="s">
        <v>22</v>
      </c>
      <c r="K979" t="s">
        <v>23</v>
      </c>
      <c r="L979">
        <f t="shared" si="45"/>
        <v>2022</v>
      </c>
      <c r="M979" s="13">
        <f t="shared" si="46"/>
        <v>44652</v>
      </c>
      <c r="N979" t="str">
        <f t="shared" si="47"/>
        <v>Sin registrar</v>
      </c>
      <c r="O979" t="str">
        <f>IF(Tabla22[[#This Row],[quantity]]&gt;=umbral_grande, "Grande", IF(Tabla22[[#This Row],[quantity]]&gt;=umbral_mediano,"Mediano", "Pequeño"))</f>
        <v>Grande</v>
      </c>
    </row>
    <row r="980" spans="2:15" x14ac:dyDescent="0.25">
      <c r="B980">
        <v>977</v>
      </c>
      <c r="C980" s="1">
        <v>44931</v>
      </c>
      <c r="D980" t="s">
        <v>10</v>
      </c>
      <c r="E980" t="s">
        <v>11</v>
      </c>
      <c r="F980">
        <v>20</v>
      </c>
      <c r="G980">
        <v>1</v>
      </c>
      <c r="H980">
        <v>20</v>
      </c>
      <c r="I980" t="s">
        <v>15</v>
      </c>
      <c r="J980" t="s">
        <v>12</v>
      </c>
      <c r="K980" t="s">
        <v>20</v>
      </c>
      <c r="L980">
        <f t="shared" si="45"/>
        <v>2023</v>
      </c>
      <c r="M980" s="13">
        <f t="shared" si="46"/>
        <v>44927</v>
      </c>
      <c r="N980" t="str">
        <f t="shared" si="47"/>
        <v>Cash</v>
      </c>
      <c r="O980" t="str">
        <f>IF(Tabla22[[#This Row],[quantity]]&gt;=umbral_grande, "Grande", IF(Tabla22[[#This Row],[quantity]]&gt;=umbral_mediano,"Mediano", "Pequeño"))</f>
        <v>Pequeño</v>
      </c>
    </row>
    <row r="981" spans="2:15" x14ac:dyDescent="0.25">
      <c r="B981">
        <v>978</v>
      </c>
      <c r="C981" s="1">
        <v>44842</v>
      </c>
      <c r="D981" t="s">
        <v>24</v>
      </c>
      <c r="E981" t="s">
        <v>11</v>
      </c>
      <c r="F981">
        <v>50</v>
      </c>
      <c r="G981">
        <v>2</v>
      </c>
      <c r="H981">
        <v>100</v>
      </c>
      <c r="I981" t="s">
        <v>19</v>
      </c>
      <c r="J981" t="s">
        <v>12</v>
      </c>
      <c r="K981" t="s">
        <v>13</v>
      </c>
      <c r="L981">
        <f t="shared" si="45"/>
        <v>2022</v>
      </c>
      <c r="M981" s="13">
        <f t="shared" si="46"/>
        <v>44835</v>
      </c>
      <c r="N981" t="str">
        <f t="shared" si="47"/>
        <v>Online</v>
      </c>
      <c r="O981" t="str">
        <f>IF(Tabla22[[#This Row],[quantity]]&gt;=umbral_grande, "Grande", IF(Tabla22[[#This Row],[quantity]]&gt;=umbral_mediano,"Mediano", "Pequeño"))</f>
        <v>Pequeño</v>
      </c>
    </row>
    <row r="982" spans="2:15" x14ac:dyDescent="0.25">
      <c r="B982">
        <v>979</v>
      </c>
      <c r="C982" s="1">
        <v>44702</v>
      </c>
      <c r="D982" t="s">
        <v>10</v>
      </c>
      <c r="E982" t="s">
        <v>11</v>
      </c>
      <c r="F982">
        <v>20</v>
      </c>
      <c r="G982">
        <v>13</v>
      </c>
      <c r="H982">
        <v>260</v>
      </c>
      <c r="I982" t="s">
        <v>15</v>
      </c>
      <c r="J982" t="s">
        <v>22</v>
      </c>
      <c r="K982" t="s">
        <v>26</v>
      </c>
      <c r="L982">
        <f t="shared" si="45"/>
        <v>2022</v>
      </c>
      <c r="M982" s="13">
        <f t="shared" si="46"/>
        <v>44682</v>
      </c>
      <c r="N982" t="str">
        <f t="shared" si="47"/>
        <v>Cash</v>
      </c>
      <c r="O982" t="str">
        <f>IF(Tabla22[[#This Row],[quantity]]&gt;=umbral_grande, "Grande", IF(Tabla22[[#This Row],[quantity]]&gt;=umbral_mediano,"Mediano", "Pequeño"))</f>
        <v>Grande</v>
      </c>
    </row>
    <row r="983" spans="2:15" x14ac:dyDescent="0.25">
      <c r="B983">
        <v>980</v>
      </c>
      <c r="C983" s="1">
        <v>44732</v>
      </c>
      <c r="D983" t="s">
        <v>14</v>
      </c>
      <c r="E983" t="s">
        <v>11</v>
      </c>
      <c r="F983">
        <v>20</v>
      </c>
      <c r="G983">
        <v>9</v>
      </c>
      <c r="H983">
        <v>180</v>
      </c>
      <c r="I983" t="s">
        <v>19</v>
      </c>
      <c r="J983" t="s">
        <v>12</v>
      </c>
      <c r="K983" t="s">
        <v>23</v>
      </c>
      <c r="L983">
        <f t="shared" si="45"/>
        <v>2022</v>
      </c>
      <c r="M983" s="13">
        <f t="shared" si="46"/>
        <v>44713</v>
      </c>
      <c r="N983" t="str">
        <f t="shared" si="47"/>
        <v>Online</v>
      </c>
      <c r="O983" t="str">
        <f>IF(Tabla22[[#This Row],[quantity]]&gt;=umbral_grande, "Grande", IF(Tabla22[[#This Row],[quantity]]&gt;=umbral_mediano,"Mediano", "Pequeño"))</f>
        <v>Mediano</v>
      </c>
    </row>
    <row r="984" spans="2:15" x14ac:dyDescent="0.25">
      <c r="B984">
        <v>981</v>
      </c>
      <c r="C984" s="1">
        <v>44948</v>
      </c>
      <c r="D984" t="s">
        <v>21</v>
      </c>
      <c r="E984" t="s">
        <v>11</v>
      </c>
      <c r="F984">
        <v>20</v>
      </c>
      <c r="G984">
        <v>15</v>
      </c>
      <c r="H984">
        <v>300</v>
      </c>
      <c r="I984" t="s">
        <v>19</v>
      </c>
      <c r="J984" t="s">
        <v>12</v>
      </c>
      <c r="K984" t="s">
        <v>26</v>
      </c>
      <c r="L984">
        <f t="shared" si="45"/>
        <v>2023</v>
      </c>
      <c r="M984" s="13">
        <f t="shared" si="46"/>
        <v>44927</v>
      </c>
      <c r="N984" t="str">
        <f t="shared" si="47"/>
        <v>Online</v>
      </c>
      <c r="O984" t="str">
        <f>IF(Tabla22[[#This Row],[quantity]]&gt;=umbral_grande, "Grande", IF(Tabla22[[#This Row],[quantity]]&gt;=umbral_mediano,"Mediano", "Pequeño"))</f>
        <v>Grande</v>
      </c>
    </row>
    <row r="985" spans="2:15" x14ac:dyDescent="0.25">
      <c r="B985">
        <v>982</v>
      </c>
      <c r="C985" s="1">
        <v>45015</v>
      </c>
      <c r="D985" t="s">
        <v>17</v>
      </c>
      <c r="E985" t="s">
        <v>18</v>
      </c>
      <c r="F985">
        <v>25</v>
      </c>
      <c r="G985">
        <v>14</v>
      </c>
      <c r="H985">
        <v>350</v>
      </c>
      <c r="I985" t="s">
        <v>15</v>
      </c>
      <c r="J985" t="s">
        <v>22</v>
      </c>
      <c r="K985" t="s">
        <v>13</v>
      </c>
      <c r="L985">
        <f t="shared" si="45"/>
        <v>2023</v>
      </c>
      <c r="M985" s="13">
        <f t="shared" si="46"/>
        <v>44986</v>
      </c>
      <c r="N985" t="str">
        <f t="shared" si="47"/>
        <v>Cash</v>
      </c>
      <c r="O985" t="str">
        <f>IF(Tabla22[[#This Row],[quantity]]&gt;=umbral_grande, "Grande", IF(Tabla22[[#This Row],[quantity]]&gt;=umbral_mediano,"Mediano", "Pequeño"))</f>
        <v>Grande</v>
      </c>
    </row>
    <row r="986" spans="2:15" x14ac:dyDescent="0.25">
      <c r="B986">
        <v>983</v>
      </c>
      <c r="C986" s="1">
        <v>45002</v>
      </c>
      <c r="D986" t="s">
        <v>27</v>
      </c>
      <c r="E986" t="s">
        <v>18</v>
      </c>
      <c r="F986">
        <v>40</v>
      </c>
      <c r="G986">
        <v>10</v>
      </c>
      <c r="H986">
        <v>400</v>
      </c>
      <c r="J986" t="s">
        <v>22</v>
      </c>
      <c r="K986" t="s">
        <v>13</v>
      </c>
      <c r="L986">
        <f t="shared" si="45"/>
        <v>2023</v>
      </c>
      <c r="M986" s="13">
        <f t="shared" si="46"/>
        <v>44986</v>
      </c>
      <c r="N986" t="str">
        <f t="shared" si="47"/>
        <v>Sin registrar</v>
      </c>
      <c r="O986" t="str">
        <f>IF(Tabla22[[#This Row],[quantity]]&gt;=umbral_grande, "Grande", IF(Tabla22[[#This Row],[quantity]]&gt;=umbral_mediano,"Mediano", "Pequeño"))</f>
        <v>Mediano</v>
      </c>
    </row>
    <row r="987" spans="2:15" x14ac:dyDescent="0.25">
      <c r="B987">
        <v>984</v>
      </c>
      <c r="C987" s="1">
        <v>44933</v>
      </c>
      <c r="D987" t="s">
        <v>24</v>
      </c>
      <c r="E987" t="s">
        <v>11</v>
      </c>
      <c r="F987">
        <v>50</v>
      </c>
      <c r="G987">
        <v>3</v>
      </c>
      <c r="H987">
        <v>150</v>
      </c>
      <c r="I987" t="s">
        <v>15</v>
      </c>
      <c r="J987" t="s">
        <v>12</v>
      </c>
      <c r="K987" t="s">
        <v>16</v>
      </c>
      <c r="L987">
        <f t="shared" si="45"/>
        <v>2023</v>
      </c>
      <c r="M987" s="13">
        <f t="shared" si="46"/>
        <v>44927</v>
      </c>
      <c r="N987" t="str">
        <f t="shared" si="47"/>
        <v>Cash</v>
      </c>
      <c r="O987" t="str">
        <f>IF(Tabla22[[#This Row],[quantity]]&gt;=umbral_grande, "Grande", IF(Tabla22[[#This Row],[quantity]]&gt;=umbral_mediano,"Mediano", "Pequeño"))</f>
        <v>Pequeño</v>
      </c>
    </row>
    <row r="988" spans="2:15" x14ac:dyDescent="0.25">
      <c r="B988">
        <v>985</v>
      </c>
      <c r="C988" s="1">
        <v>44726</v>
      </c>
      <c r="D988" t="s">
        <v>24</v>
      </c>
      <c r="E988" t="s">
        <v>11</v>
      </c>
      <c r="F988">
        <v>50</v>
      </c>
      <c r="G988">
        <v>1</v>
      </c>
      <c r="H988">
        <v>50</v>
      </c>
      <c r="I988" t="s">
        <v>15</v>
      </c>
      <c r="J988" t="s">
        <v>22</v>
      </c>
      <c r="K988" t="s">
        <v>16</v>
      </c>
      <c r="L988">
        <f t="shared" si="45"/>
        <v>2022</v>
      </c>
      <c r="M988" s="13">
        <f t="shared" si="46"/>
        <v>44713</v>
      </c>
      <c r="N988" t="str">
        <f t="shared" si="47"/>
        <v>Cash</v>
      </c>
      <c r="O988" t="str">
        <f>IF(Tabla22[[#This Row],[quantity]]&gt;=umbral_grande, "Grande", IF(Tabla22[[#This Row],[quantity]]&gt;=umbral_mediano,"Mediano", "Pequeño"))</f>
        <v>Pequeño</v>
      </c>
    </row>
    <row r="989" spans="2:15" x14ac:dyDescent="0.25">
      <c r="B989">
        <v>986</v>
      </c>
      <c r="C989" s="1">
        <v>44681</v>
      </c>
      <c r="D989" t="s">
        <v>17</v>
      </c>
      <c r="E989" t="s">
        <v>18</v>
      </c>
      <c r="F989">
        <v>25</v>
      </c>
      <c r="G989">
        <v>13</v>
      </c>
      <c r="H989">
        <v>325</v>
      </c>
      <c r="I989" t="s">
        <v>19</v>
      </c>
      <c r="J989" t="s">
        <v>12</v>
      </c>
      <c r="K989" t="s">
        <v>13</v>
      </c>
      <c r="L989">
        <f t="shared" si="45"/>
        <v>2022</v>
      </c>
      <c r="M989" s="13">
        <f t="shared" si="46"/>
        <v>44652</v>
      </c>
      <c r="N989" t="str">
        <f t="shared" si="47"/>
        <v>Online</v>
      </c>
      <c r="O989" t="str">
        <f>IF(Tabla22[[#This Row],[quantity]]&gt;=umbral_grande, "Grande", IF(Tabla22[[#This Row],[quantity]]&gt;=umbral_mediano,"Mediano", "Pequeño"))</f>
        <v>Grande</v>
      </c>
    </row>
    <row r="990" spans="2:15" x14ac:dyDescent="0.25">
      <c r="B990">
        <v>987</v>
      </c>
      <c r="C990" s="1">
        <v>44930</v>
      </c>
      <c r="D990" t="s">
        <v>14</v>
      </c>
      <c r="E990" t="s">
        <v>11</v>
      </c>
      <c r="F990">
        <v>20</v>
      </c>
      <c r="G990">
        <v>3</v>
      </c>
      <c r="H990">
        <v>60</v>
      </c>
      <c r="I990" t="s">
        <v>15</v>
      </c>
      <c r="J990" t="s">
        <v>22</v>
      </c>
      <c r="K990" t="s">
        <v>20</v>
      </c>
      <c r="L990">
        <f t="shared" si="45"/>
        <v>2023</v>
      </c>
      <c r="M990" s="13">
        <f t="shared" si="46"/>
        <v>44927</v>
      </c>
      <c r="N990" t="str">
        <f t="shared" si="47"/>
        <v>Cash</v>
      </c>
      <c r="O990" t="str">
        <f>IF(Tabla22[[#This Row],[quantity]]&gt;=umbral_grande, "Grande", IF(Tabla22[[#This Row],[quantity]]&gt;=umbral_mediano,"Mediano", "Pequeño"))</f>
        <v>Pequeño</v>
      </c>
    </row>
    <row r="991" spans="2:15" x14ac:dyDescent="0.25">
      <c r="B991">
        <v>988</v>
      </c>
      <c r="C991" s="1">
        <v>44929</v>
      </c>
      <c r="D991" t="s">
        <v>24</v>
      </c>
      <c r="E991" t="s">
        <v>11</v>
      </c>
      <c r="F991">
        <v>50</v>
      </c>
      <c r="G991">
        <v>13</v>
      </c>
      <c r="H991">
        <v>650</v>
      </c>
      <c r="J991" t="s">
        <v>22</v>
      </c>
      <c r="K991" t="s">
        <v>13</v>
      </c>
      <c r="L991">
        <f t="shared" si="45"/>
        <v>2023</v>
      </c>
      <c r="M991" s="13">
        <f t="shared" si="46"/>
        <v>44927</v>
      </c>
      <c r="N991" t="str">
        <f t="shared" si="47"/>
        <v>Sin registrar</v>
      </c>
      <c r="O991" t="str">
        <f>IF(Tabla22[[#This Row],[quantity]]&gt;=umbral_grande, "Grande", IF(Tabla22[[#This Row],[quantity]]&gt;=umbral_mediano,"Mediano", "Pequeño"))</f>
        <v>Grande</v>
      </c>
    </row>
    <row r="992" spans="2:15" x14ac:dyDescent="0.25">
      <c r="B992">
        <v>989</v>
      </c>
      <c r="C992" s="1">
        <v>44845</v>
      </c>
      <c r="D992" t="s">
        <v>27</v>
      </c>
      <c r="E992" t="s">
        <v>18</v>
      </c>
      <c r="F992">
        <v>40</v>
      </c>
      <c r="G992">
        <v>13</v>
      </c>
      <c r="H992">
        <v>520</v>
      </c>
      <c r="I992" t="s">
        <v>15</v>
      </c>
      <c r="J992" t="s">
        <v>12</v>
      </c>
      <c r="K992" t="s">
        <v>16</v>
      </c>
      <c r="L992">
        <f t="shared" si="45"/>
        <v>2022</v>
      </c>
      <c r="M992" s="13">
        <f t="shared" si="46"/>
        <v>44835</v>
      </c>
      <c r="N992" t="str">
        <f t="shared" si="47"/>
        <v>Cash</v>
      </c>
      <c r="O992" t="str">
        <f>IF(Tabla22[[#This Row],[quantity]]&gt;=umbral_grande, "Grande", IF(Tabla22[[#This Row],[quantity]]&gt;=umbral_mediano,"Mediano", "Pequeño"))</f>
        <v>Grande</v>
      </c>
    </row>
    <row r="993" spans="2:15" x14ac:dyDescent="0.25">
      <c r="B993">
        <v>990</v>
      </c>
      <c r="C993" s="1">
        <v>44889</v>
      </c>
      <c r="D993" t="s">
        <v>14</v>
      </c>
      <c r="E993" t="s">
        <v>11</v>
      </c>
      <c r="F993">
        <v>20</v>
      </c>
      <c r="G993">
        <v>10</v>
      </c>
      <c r="H993">
        <v>200</v>
      </c>
      <c r="I993" t="s">
        <v>19</v>
      </c>
      <c r="J993" t="s">
        <v>22</v>
      </c>
      <c r="K993" t="s">
        <v>23</v>
      </c>
      <c r="L993">
        <f t="shared" si="45"/>
        <v>2022</v>
      </c>
      <c r="M993" s="13">
        <f t="shared" si="46"/>
        <v>44866</v>
      </c>
      <c r="N993" t="str">
        <f t="shared" si="47"/>
        <v>Online</v>
      </c>
      <c r="O993" t="str">
        <f>IF(Tabla22[[#This Row],[quantity]]&gt;=umbral_grande, "Grande", IF(Tabla22[[#This Row],[quantity]]&gt;=umbral_mediano,"Mediano", "Pequeño"))</f>
        <v>Mediano</v>
      </c>
    </row>
    <row r="994" spans="2:15" x14ac:dyDescent="0.25">
      <c r="B994">
        <v>991</v>
      </c>
      <c r="C994" s="1">
        <v>44944</v>
      </c>
      <c r="D994" t="s">
        <v>25</v>
      </c>
      <c r="E994" t="s">
        <v>11</v>
      </c>
      <c r="F994">
        <v>60</v>
      </c>
      <c r="G994">
        <v>7</v>
      </c>
      <c r="H994">
        <v>420</v>
      </c>
      <c r="I994" t="s">
        <v>15</v>
      </c>
      <c r="J994" t="s">
        <v>22</v>
      </c>
      <c r="K994" t="s">
        <v>13</v>
      </c>
      <c r="L994">
        <f t="shared" si="45"/>
        <v>2023</v>
      </c>
      <c r="M994" s="13">
        <f t="shared" si="46"/>
        <v>44927</v>
      </c>
      <c r="N994" t="str">
        <f t="shared" si="47"/>
        <v>Cash</v>
      </c>
      <c r="O994" t="str">
        <f>IF(Tabla22[[#This Row],[quantity]]&gt;=umbral_grande, "Grande", IF(Tabla22[[#This Row],[quantity]]&gt;=umbral_mediano,"Mediano", "Pequeño"))</f>
        <v>Mediano</v>
      </c>
    </row>
    <row r="995" spans="2:15" x14ac:dyDescent="0.25">
      <c r="B995">
        <v>992</v>
      </c>
      <c r="C995" s="1">
        <v>44855</v>
      </c>
      <c r="D995" t="s">
        <v>25</v>
      </c>
      <c r="E995" t="s">
        <v>11</v>
      </c>
      <c r="F995">
        <v>60</v>
      </c>
      <c r="G995">
        <v>5</v>
      </c>
      <c r="H995">
        <v>300</v>
      </c>
      <c r="I995" t="s">
        <v>15</v>
      </c>
      <c r="J995" t="s">
        <v>12</v>
      </c>
      <c r="K995" t="s">
        <v>23</v>
      </c>
      <c r="L995">
        <f t="shared" si="45"/>
        <v>2022</v>
      </c>
      <c r="M995" s="13">
        <f t="shared" si="46"/>
        <v>44835</v>
      </c>
      <c r="N995" t="str">
        <f t="shared" si="47"/>
        <v>Cash</v>
      </c>
      <c r="O995" t="str">
        <f>IF(Tabla22[[#This Row],[quantity]]&gt;=umbral_grande, "Grande", IF(Tabla22[[#This Row],[quantity]]&gt;=umbral_mediano,"Mediano", "Pequeño"))</f>
        <v>Pequeño</v>
      </c>
    </row>
    <row r="996" spans="2:15" x14ac:dyDescent="0.25">
      <c r="B996">
        <v>993</v>
      </c>
      <c r="C996" s="1">
        <v>44759</v>
      </c>
      <c r="D996" t="s">
        <v>24</v>
      </c>
      <c r="E996" t="s">
        <v>11</v>
      </c>
      <c r="F996">
        <v>50</v>
      </c>
      <c r="G996">
        <v>3</v>
      </c>
      <c r="H996">
        <v>150</v>
      </c>
      <c r="I996" t="s">
        <v>19</v>
      </c>
      <c r="J996" t="s">
        <v>22</v>
      </c>
      <c r="K996" t="s">
        <v>13</v>
      </c>
      <c r="L996">
        <f t="shared" si="45"/>
        <v>2022</v>
      </c>
      <c r="M996" s="13">
        <f t="shared" si="46"/>
        <v>44743</v>
      </c>
      <c r="N996" t="str">
        <f t="shared" si="47"/>
        <v>Online</v>
      </c>
      <c r="O996" t="str">
        <f>IF(Tabla22[[#This Row],[quantity]]&gt;=umbral_grande, "Grande", IF(Tabla22[[#This Row],[quantity]]&gt;=umbral_mediano,"Mediano", "Pequeño"))</f>
        <v>Pequeño</v>
      </c>
    </row>
    <row r="997" spans="2:15" x14ac:dyDescent="0.25">
      <c r="B997">
        <v>994</v>
      </c>
      <c r="C997" s="1">
        <v>44866</v>
      </c>
      <c r="D997" t="s">
        <v>21</v>
      </c>
      <c r="E997" t="s">
        <v>11</v>
      </c>
      <c r="F997">
        <v>20</v>
      </c>
      <c r="G997">
        <v>2</v>
      </c>
      <c r="H997">
        <v>40</v>
      </c>
      <c r="I997" t="s">
        <v>19</v>
      </c>
      <c r="J997" t="s">
        <v>22</v>
      </c>
      <c r="K997" t="s">
        <v>20</v>
      </c>
      <c r="L997">
        <f t="shared" si="45"/>
        <v>2022</v>
      </c>
      <c r="M997" s="13">
        <f t="shared" si="46"/>
        <v>44866</v>
      </c>
      <c r="N997" t="str">
        <f t="shared" si="47"/>
        <v>Online</v>
      </c>
      <c r="O997" t="str">
        <f>IF(Tabla22[[#This Row],[quantity]]&gt;=umbral_grande, "Grande", IF(Tabla22[[#This Row],[quantity]]&gt;=umbral_mediano,"Mediano", "Pequeño"))</f>
        <v>Pequeño</v>
      </c>
    </row>
    <row r="998" spans="2:15" x14ac:dyDescent="0.25">
      <c r="B998">
        <v>995</v>
      </c>
      <c r="C998" s="1">
        <v>44730</v>
      </c>
      <c r="D998" t="s">
        <v>17</v>
      </c>
      <c r="E998" t="s">
        <v>18</v>
      </c>
      <c r="F998">
        <v>25</v>
      </c>
      <c r="G998">
        <v>1</v>
      </c>
      <c r="H998">
        <v>25</v>
      </c>
      <c r="I998" t="s">
        <v>19</v>
      </c>
      <c r="J998" t="s">
        <v>12</v>
      </c>
      <c r="K998" t="s">
        <v>13</v>
      </c>
      <c r="L998">
        <f t="shared" si="45"/>
        <v>2022</v>
      </c>
      <c r="M998" s="13">
        <f t="shared" si="46"/>
        <v>44713</v>
      </c>
      <c r="N998" t="str">
        <f t="shared" si="47"/>
        <v>Online</v>
      </c>
      <c r="O998" t="str">
        <f>IF(Tabla22[[#This Row],[quantity]]&gt;=umbral_grande, "Grande", IF(Tabla22[[#This Row],[quantity]]&gt;=umbral_mediano,"Mediano", "Pequeño"))</f>
        <v>Pequeño</v>
      </c>
    </row>
    <row r="999" spans="2:15" x14ac:dyDescent="0.25">
      <c r="B999">
        <v>996</v>
      </c>
      <c r="C999" s="1">
        <v>45004</v>
      </c>
      <c r="D999" t="s">
        <v>24</v>
      </c>
      <c r="E999" t="s">
        <v>11</v>
      </c>
      <c r="F999">
        <v>50</v>
      </c>
      <c r="G999">
        <v>10</v>
      </c>
      <c r="H999">
        <v>500</v>
      </c>
      <c r="J999" t="s">
        <v>22</v>
      </c>
      <c r="K999" t="s">
        <v>20</v>
      </c>
      <c r="L999">
        <f t="shared" si="45"/>
        <v>2023</v>
      </c>
      <c r="M999" s="13">
        <f t="shared" si="46"/>
        <v>44986</v>
      </c>
      <c r="N999" t="str">
        <f t="shared" si="47"/>
        <v>Sin registrar</v>
      </c>
      <c r="O999" t="str">
        <f>IF(Tabla22[[#This Row],[quantity]]&gt;=umbral_grande, "Grande", IF(Tabla22[[#This Row],[quantity]]&gt;=umbral_mediano,"Mediano", "Pequeño"))</f>
        <v>Mediano</v>
      </c>
    </row>
    <row r="1000" spans="2:15" x14ac:dyDescent="0.25">
      <c r="B1000">
        <v>997</v>
      </c>
      <c r="C1000" s="1">
        <v>44824</v>
      </c>
      <c r="D1000" t="s">
        <v>25</v>
      </c>
      <c r="E1000" t="s">
        <v>11</v>
      </c>
      <c r="F1000">
        <v>60</v>
      </c>
      <c r="G1000">
        <v>7</v>
      </c>
      <c r="H1000">
        <v>420</v>
      </c>
      <c r="J1000" t="s">
        <v>12</v>
      </c>
      <c r="K1000" t="s">
        <v>20</v>
      </c>
      <c r="L1000">
        <f t="shared" si="45"/>
        <v>2022</v>
      </c>
      <c r="M1000" s="13">
        <f t="shared" si="46"/>
        <v>44805</v>
      </c>
      <c r="N1000" t="str">
        <f t="shared" si="47"/>
        <v>Sin registrar</v>
      </c>
      <c r="O1000" t="str">
        <f>IF(Tabla22[[#This Row],[quantity]]&gt;=umbral_grande, "Grande", IF(Tabla22[[#This Row],[quantity]]&gt;=umbral_mediano,"Mediano", "Pequeño"))</f>
        <v>Mediano</v>
      </c>
    </row>
    <row r="1001" spans="2:15" x14ac:dyDescent="0.25">
      <c r="B1001">
        <v>998</v>
      </c>
      <c r="C1001" s="1">
        <v>44952</v>
      </c>
      <c r="D1001" t="s">
        <v>25</v>
      </c>
      <c r="E1001" t="s">
        <v>11</v>
      </c>
      <c r="F1001">
        <v>60</v>
      </c>
      <c r="G1001">
        <v>13</v>
      </c>
      <c r="H1001">
        <v>780</v>
      </c>
      <c r="J1001" t="s">
        <v>12</v>
      </c>
      <c r="K1001" t="s">
        <v>20</v>
      </c>
      <c r="L1001">
        <f t="shared" si="45"/>
        <v>2023</v>
      </c>
      <c r="M1001" s="13">
        <f t="shared" si="46"/>
        <v>44927</v>
      </c>
      <c r="N1001" t="str">
        <f t="shared" si="47"/>
        <v>Sin registrar</v>
      </c>
      <c r="O1001" t="str">
        <f>IF(Tabla22[[#This Row],[quantity]]&gt;=umbral_grande, "Grande", IF(Tabla22[[#This Row],[quantity]]&gt;=umbral_mediano,"Mediano", "Pequeño"))</f>
        <v>Grande</v>
      </c>
    </row>
    <row r="1002" spans="2:15" x14ac:dyDescent="0.25">
      <c r="B1002">
        <v>999</v>
      </c>
      <c r="C1002" s="1">
        <v>44800</v>
      </c>
      <c r="D1002" t="s">
        <v>21</v>
      </c>
      <c r="E1002" t="s">
        <v>11</v>
      </c>
      <c r="F1002">
        <v>20</v>
      </c>
      <c r="G1002">
        <v>5</v>
      </c>
      <c r="H1002">
        <v>100</v>
      </c>
      <c r="J1002" t="s">
        <v>22</v>
      </c>
      <c r="K1002" t="s">
        <v>16</v>
      </c>
      <c r="L1002">
        <f t="shared" si="45"/>
        <v>2022</v>
      </c>
      <c r="M1002" s="13">
        <f t="shared" si="46"/>
        <v>44774</v>
      </c>
      <c r="N1002" t="str">
        <f t="shared" si="47"/>
        <v>Sin registrar</v>
      </c>
      <c r="O1002" t="str">
        <f>IF(Tabla22[[#This Row],[quantity]]&gt;=umbral_grande, "Grande", IF(Tabla22[[#This Row],[quantity]]&gt;=umbral_mediano,"Mediano", "Pequeño"))</f>
        <v>Pequeño</v>
      </c>
    </row>
    <row r="1003" spans="2:15" x14ac:dyDescent="0.25">
      <c r="B1003">
        <v>1000</v>
      </c>
      <c r="C1003" s="1">
        <v>44710</v>
      </c>
      <c r="D1003" t="s">
        <v>10</v>
      </c>
      <c r="E1003" t="s">
        <v>11</v>
      </c>
      <c r="F1003">
        <v>20</v>
      </c>
      <c r="G1003">
        <v>3</v>
      </c>
      <c r="H1003">
        <v>60</v>
      </c>
      <c r="I1003" t="s">
        <v>19</v>
      </c>
      <c r="J1003" t="s">
        <v>22</v>
      </c>
      <c r="K1003" t="s">
        <v>26</v>
      </c>
      <c r="L1003">
        <f t="shared" si="45"/>
        <v>2022</v>
      </c>
      <c r="M1003" s="13">
        <f t="shared" si="46"/>
        <v>44682</v>
      </c>
      <c r="N1003" t="str">
        <f t="shared" si="47"/>
        <v>Online</v>
      </c>
      <c r="O1003" t="str">
        <f>IF(Tabla22[[#This Row],[quantity]]&gt;=umbral_grande, "Grande", IF(Tabla22[[#This Row],[quantity]]&gt;=umbral_mediano,"Mediano", "Pequeño"))</f>
        <v>Pequeño</v>
      </c>
    </row>
  </sheetData>
  <conditionalFormatting sqref="N3:N1003">
    <cfRule type="containsText" dxfId="1" priority="3" operator="containsText" text="Sin registrar">
      <formula>NOT(ISERROR(SEARCH("Sin registrar",N3)))</formula>
    </cfRule>
  </conditionalFormatting>
  <conditionalFormatting sqref="O4:O1003">
    <cfRule type="containsText" dxfId="0" priority="1" operator="containsText" text="Grande">
      <formula>NOT(ISERROR(SEARCH("Grande",O4)))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CEE44-42E8-4C47-82E4-49D898C68850}">
  <dimension ref="B3:H20"/>
  <sheetViews>
    <sheetView workbookViewId="0">
      <selection activeCell="A12" sqref="A12"/>
    </sheetView>
  </sheetViews>
  <sheetFormatPr baseColWidth="10" defaultRowHeight="13.2" x14ac:dyDescent="0.25"/>
  <cols>
    <col min="1" max="1" width="5.77734375" customWidth="1"/>
    <col min="2" max="2" width="12.21875" customWidth="1"/>
    <col min="4" max="4" width="11.88671875" customWidth="1"/>
    <col min="6" max="6" width="15.88671875" customWidth="1"/>
    <col min="7" max="7" width="15.6640625" customWidth="1"/>
    <col min="8" max="8" width="13.88671875" customWidth="1"/>
  </cols>
  <sheetData>
    <row r="3" spans="2:8" ht="21" x14ac:dyDescent="0.4">
      <c r="B3" s="19" t="s">
        <v>79</v>
      </c>
      <c r="C3" s="19"/>
      <c r="D3" s="17"/>
      <c r="E3" s="17"/>
      <c r="F3" s="17"/>
      <c r="G3" s="17"/>
      <c r="H3" s="17"/>
    </row>
    <row r="5" spans="2:8" x14ac:dyDescent="0.25">
      <c r="B5" s="18" t="s">
        <v>91</v>
      </c>
      <c r="C5" s="18" t="s">
        <v>3</v>
      </c>
      <c r="D5" s="18" t="s">
        <v>4</v>
      </c>
      <c r="F5" s="21" t="s">
        <v>80</v>
      </c>
      <c r="H5" s="21" t="s">
        <v>81</v>
      </c>
    </row>
    <row r="6" spans="2:8" x14ac:dyDescent="0.25">
      <c r="B6" s="26" t="s">
        <v>10</v>
      </c>
      <c r="C6" s="14" t="s">
        <v>11</v>
      </c>
      <c r="D6" s="27">
        <v>20</v>
      </c>
      <c r="F6" s="24" t="s">
        <v>10</v>
      </c>
      <c r="H6" s="22">
        <v>2022</v>
      </c>
    </row>
    <row r="7" spans="2:8" x14ac:dyDescent="0.25">
      <c r="B7" s="26" t="s">
        <v>27</v>
      </c>
      <c r="C7" s="14" t="s">
        <v>18</v>
      </c>
      <c r="D7" s="27">
        <v>40</v>
      </c>
      <c r="F7" s="24" t="s">
        <v>27</v>
      </c>
      <c r="H7" s="23">
        <v>2023</v>
      </c>
    </row>
    <row r="8" spans="2:8" x14ac:dyDescent="0.25">
      <c r="B8" s="26" t="s">
        <v>24</v>
      </c>
      <c r="C8" s="14" t="s">
        <v>11</v>
      </c>
      <c r="D8" s="27">
        <v>50</v>
      </c>
      <c r="F8" s="24" t="s">
        <v>24</v>
      </c>
    </row>
    <row r="9" spans="2:8" x14ac:dyDescent="0.25">
      <c r="B9" s="26" t="s">
        <v>21</v>
      </c>
      <c r="C9" s="14" t="s">
        <v>11</v>
      </c>
      <c r="D9" s="27">
        <v>20</v>
      </c>
      <c r="F9" s="24" t="s">
        <v>21</v>
      </c>
      <c r="H9" s="21" t="s">
        <v>98</v>
      </c>
    </row>
    <row r="10" spans="2:8" x14ac:dyDescent="0.25">
      <c r="B10" s="26" t="s">
        <v>25</v>
      </c>
      <c r="C10" s="14" t="s">
        <v>11</v>
      </c>
      <c r="D10" s="27">
        <v>60</v>
      </c>
      <c r="F10" s="24" t="s">
        <v>25</v>
      </c>
      <c r="H10" s="22" t="s">
        <v>15</v>
      </c>
    </row>
    <row r="11" spans="2:8" x14ac:dyDescent="0.25">
      <c r="B11" s="26" t="s">
        <v>17</v>
      </c>
      <c r="C11" s="14" t="s">
        <v>18</v>
      </c>
      <c r="D11" s="27">
        <v>25</v>
      </c>
      <c r="F11" s="24" t="s">
        <v>17</v>
      </c>
      <c r="H11" s="22" t="s">
        <v>19</v>
      </c>
    </row>
    <row r="12" spans="2:8" x14ac:dyDescent="0.25">
      <c r="B12" s="28" t="s">
        <v>14</v>
      </c>
      <c r="C12" s="20" t="s">
        <v>11</v>
      </c>
      <c r="D12" s="29">
        <v>20</v>
      </c>
      <c r="F12" s="25" t="s">
        <v>14</v>
      </c>
      <c r="H12" s="23" t="s">
        <v>99</v>
      </c>
    </row>
    <row r="15" spans="2:8" x14ac:dyDescent="0.25">
      <c r="B15" s="18" t="s">
        <v>82</v>
      </c>
      <c r="C15" s="18"/>
      <c r="D15" s="18"/>
      <c r="E15" s="18"/>
      <c r="F15" s="18" t="s">
        <v>93</v>
      </c>
      <c r="G15" s="18" t="s">
        <v>102</v>
      </c>
    </row>
    <row r="16" spans="2:8" x14ac:dyDescent="0.25">
      <c r="B16" t="s">
        <v>86</v>
      </c>
      <c r="D16">
        <v>6</v>
      </c>
      <c r="F16" t="s">
        <v>23</v>
      </c>
      <c r="G16" t="s">
        <v>103</v>
      </c>
    </row>
    <row r="17" spans="2:7" x14ac:dyDescent="0.25">
      <c r="B17" t="s">
        <v>87</v>
      </c>
      <c r="D17">
        <v>11</v>
      </c>
      <c r="F17" t="s">
        <v>16</v>
      </c>
      <c r="G17" t="s">
        <v>83</v>
      </c>
    </row>
    <row r="18" spans="2:7" x14ac:dyDescent="0.25">
      <c r="B18" s="32" t="s">
        <v>85</v>
      </c>
      <c r="C18" s="32"/>
      <c r="D18" s="32"/>
      <c r="E18" s="32"/>
      <c r="F18" t="s">
        <v>20</v>
      </c>
      <c r="G18" t="s">
        <v>84</v>
      </c>
    </row>
    <row r="19" spans="2:7" x14ac:dyDescent="0.25">
      <c r="F19" t="s">
        <v>13</v>
      </c>
    </row>
    <row r="20" spans="2:7" x14ac:dyDescent="0.25">
      <c r="F20" t="s">
        <v>26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21E38-45C5-4AE6-975D-40986FD942C2}">
  <dimension ref="B4:K1004"/>
  <sheetViews>
    <sheetView topLeftCell="A498" zoomScaleNormal="100" workbookViewId="0">
      <selection activeCell="A996" sqref="A996"/>
    </sheetView>
  </sheetViews>
  <sheetFormatPr baseColWidth="10" defaultColWidth="11.5546875" defaultRowHeight="13.2" x14ac:dyDescent="0.25"/>
  <cols>
    <col min="2" max="2" width="8" customWidth="1"/>
    <col min="3" max="3" width="16.21875" customWidth="1"/>
    <col min="4" max="4" width="14.5546875" customWidth="1"/>
    <col min="5" max="5" width="9.5546875" customWidth="1"/>
    <col min="6" max="6" width="9.88671875" customWidth="1"/>
    <col min="7" max="7" width="8" customWidth="1"/>
    <col min="8" max="8" width="17.44140625" customWidth="1"/>
    <col min="9" max="9" width="14.88671875" customWidth="1"/>
    <col min="10" max="10" width="11.33203125" customWidth="1"/>
    <col min="11" max="11" width="11.88671875" customWidth="1"/>
  </cols>
  <sheetData>
    <row r="4" spans="2:11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</row>
    <row r="5" spans="2:11" x14ac:dyDescent="0.25">
      <c r="B5">
        <v>1</v>
      </c>
      <c r="C5" s="1">
        <v>44745</v>
      </c>
      <c r="D5" t="s">
        <v>10</v>
      </c>
      <c r="E5" t="s">
        <v>11</v>
      </c>
      <c r="F5">
        <v>20</v>
      </c>
      <c r="G5">
        <v>13</v>
      </c>
      <c r="H5">
        <v>260</v>
      </c>
      <c r="J5" t="s">
        <v>12</v>
      </c>
      <c r="K5" t="s">
        <v>13</v>
      </c>
    </row>
    <row r="6" spans="2:11" x14ac:dyDescent="0.25">
      <c r="B6">
        <v>2</v>
      </c>
      <c r="C6" s="1">
        <v>44796</v>
      </c>
      <c r="D6" t="s">
        <v>14</v>
      </c>
      <c r="E6" t="s">
        <v>11</v>
      </c>
      <c r="F6">
        <v>20</v>
      </c>
      <c r="G6">
        <v>15</v>
      </c>
      <c r="H6">
        <v>300</v>
      </c>
      <c r="I6" t="s">
        <v>15</v>
      </c>
      <c r="J6" t="s">
        <v>12</v>
      </c>
      <c r="K6" t="s">
        <v>16</v>
      </c>
    </row>
    <row r="7" spans="2:11" x14ac:dyDescent="0.25">
      <c r="B7">
        <v>3</v>
      </c>
      <c r="C7" s="1">
        <v>44885</v>
      </c>
      <c r="D7" t="s">
        <v>14</v>
      </c>
      <c r="E7" t="s">
        <v>11</v>
      </c>
      <c r="F7">
        <v>20</v>
      </c>
      <c r="G7">
        <v>1</v>
      </c>
      <c r="H7">
        <v>20</v>
      </c>
      <c r="I7" t="s">
        <v>15</v>
      </c>
      <c r="J7" t="s">
        <v>12</v>
      </c>
      <c r="K7" t="s">
        <v>16</v>
      </c>
    </row>
    <row r="8" spans="2:11" x14ac:dyDescent="0.25">
      <c r="B8">
        <v>4</v>
      </c>
      <c r="C8" s="1">
        <v>44960</v>
      </c>
      <c r="D8" t="s">
        <v>17</v>
      </c>
      <c r="E8" t="s">
        <v>18</v>
      </c>
      <c r="F8">
        <v>25</v>
      </c>
      <c r="G8">
        <v>6</v>
      </c>
      <c r="H8">
        <v>150</v>
      </c>
      <c r="I8" t="s">
        <v>19</v>
      </c>
      <c r="J8" t="s">
        <v>12</v>
      </c>
      <c r="K8" t="s">
        <v>13</v>
      </c>
    </row>
    <row r="9" spans="2:11" x14ac:dyDescent="0.25">
      <c r="B9">
        <v>5</v>
      </c>
      <c r="C9" s="1">
        <v>44836</v>
      </c>
      <c r="D9" t="s">
        <v>17</v>
      </c>
      <c r="E9" t="s">
        <v>18</v>
      </c>
      <c r="F9">
        <v>25</v>
      </c>
      <c r="G9">
        <v>8</v>
      </c>
      <c r="H9">
        <v>200</v>
      </c>
      <c r="I9" t="s">
        <v>19</v>
      </c>
      <c r="J9" t="s">
        <v>12</v>
      </c>
      <c r="K9" t="s">
        <v>20</v>
      </c>
    </row>
    <row r="10" spans="2:11" x14ac:dyDescent="0.25">
      <c r="B10">
        <v>6</v>
      </c>
      <c r="C10" s="1">
        <v>44879</v>
      </c>
      <c r="D10" t="s">
        <v>14</v>
      </c>
      <c r="E10" t="s">
        <v>11</v>
      </c>
      <c r="F10">
        <v>20</v>
      </c>
      <c r="G10">
        <v>10</v>
      </c>
      <c r="H10">
        <v>200</v>
      </c>
      <c r="I10" t="s">
        <v>15</v>
      </c>
      <c r="J10" t="s">
        <v>12</v>
      </c>
      <c r="K10" t="s">
        <v>20</v>
      </c>
    </row>
    <row r="11" spans="2:11" x14ac:dyDescent="0.25">
      <c r="B11">
        <v>7</v>
      </c>
      <c r="C11" s="1">
        <v>44684</v>
      </c>
      <c r="D11" t="s">
        <v>17</v>
      </c>
      <c r="E11" t="s">
        <v>18</v>
      </c>
      <c r="F11">
        <v>25</v>
      </c>
      <c r="G11">
        <v>9</v>
      </c>
      <c r="H11">
        <v>225</v>
      </c>
      <c r="I11" t="s">
        <v>15</v>
      </c>
      <c r="J11" t="s">
        <v>12</v>
      </c>
      <c r="K11" t="s">
        <v>20</v>
      </c>
    </row>
    <row r="12" spans="2:11" x14ac:dyDescent="0.25">
      <c r="B12">
        <v>8</v>
      </c>
      <c r="C12" s="1">
        <v>44917</v>
      </c>
      <c r="D12" t="s">
        <v>21</v>
      </c>
      <c r="E12" t="s">
        <v>11</v>
      </c>
      <c r="F12">
        <v>20</v>
      </c>
      <c r="G12">
        <v>14</v>
      </c>
      <c r="H12">
        <v>280</v>
      </c>
      <c r="I12" t="s">
        <v>19</v>
      </c>
      <c r="J12" t="s">
        <v>12</v>
      </c>
      <c r="K12" t="s">
        <v>13</v>
      </c>
    </row>
    <row r="13" spans="2:11" x14ac:dyDescent="0.25">
      <c r="B13">
        <v>9</v>
      </c>
      <c r="C13" s="1">
        <v>44722</v>
      </c>
      <c r="D13" t="s">
        <v>21</v>
      </c>
      <c r="E13" t="s">
        <v>11</v>
      </c>
      <c r="F13">
        <v>20</v>
      </c>
      <c r="G13">
        <v>1</v>
      </c>
      <c r="H13">
        <v>20</v>
      </c>
      <c r="I13" t="s">
        <v>15</v>
      </c>
      <c r="J13" t="s">
        <v>22</v>
      </c>
      <c r="K13" t="s">
        <v>23</v>
      </c>
    </row>
    <row r="14" spans="2:11" x14ac:dyDescent="0.25">
      <c r="B14">
        <v>10</v>
      </c>
      <c r="C14" s="1">
        <v>44820</v>
      </c>
      <c r="D14" t="s">
        <v>21</v>
      </c>
      <c r="E14" t="s">
        <v>11</v>
      </c>
      <c r="F14">
        <v>20</v>
      </c>
      <c r="G14">
        <v>5</v>
      </c>
      <c r="H14">
        <v>100</v>
      </c>
      <c r="I14" t="s">
        <v>19</v>
      </c>
      <c r="J14" t="s">
        <v>12</v>
      </c>
      <c r="K14" t="s">
        <v>16</v>
      </c>
    </row>
    <row r="15" spans="2:11" x14ac:dyDescent="0.25">
      <c r="B15">
        <v>11</v>
      </c>
      <c r="C15" s="1">
        <v>44896</v>
      </c>
      <c r="D15" t="s">
        <v>24</v>
      </c>
      <c r="E15" t="s">
        <v>11</v>
      </c>
      <c r="F15">
        <v>50</v>
      </c>
      <c r="G15">
        <v>8</v>
      </c>
      <c r="H15">
        <v>400</v>
      </c>
      <c r="I15" t="s">
        <v>19</v>
      </c>
      <c r="J15" t="s">
        <v>22</v>
      </c>
      <c r="K15" t="s">
        <v>16</v>
      </c>
    </row>
    <row r="16" spans="2:11" x14ac:dyDescent="0.25">
      <c r="B16">
        <v>12</v>
      </c>
      <c r="C16" s="1">
        <v>44754</v>
      </c>
      <c r="D16" t="s">
        <v>14</v>
      </c>
      <c r="E16" t="s">
        <v>11</v>
      </c>
      <c r="F16">
        <v>20</v>
      </c>
      <c r="G16">
        <v>8</v>
      </c>
      <c r="H16">
        <v>160</v>
      </c>
      <c r="I16" t="s">
        <v>19</v>
      </c>
      <c r="J16" t="s">
        <v>22</v>
      </c>
      <c r="K16" t="s">
        <v>13</v>
      </c>
    </row>
    <row r="17" spans="2:11" x14ac:dyDescent="0.25">
      <c r="B17">
        <v>13</v>
      </c>
      <c r="C17" s="1">
        <v>44917</v>
      </c>
      <c r="D17" t="s">
        <v>21</v>
      </c>
      <c r="E17" t="s">
        <v>11</v>
      </c>
      <c r="F17">
        <v>20</v>
      </c>
      <c r="G17">
        <v>9</v>
      </c>
      <c r="H17">
        <v>180</v>
      </c>
      <c r="I17" t="s">
        <v>19</v>
      </c>
      <c r="J17" t="s">
        <v>22</v>
      </c>
      <c r="K17" t="s">
        <v>16</v>
      </c>
    </row>
    <row r="18" spans="2:11" x14ac:dyDescent="0.25">
      <c r="B18">
        <v>14</v>
      </c>
      <c r="C18" s="1">
        <v>44890</v>
      </c>
      <c r="D18" t="s">
        <v>24</v>
      </c>
      <c r="E18" t="s">
        <v>11</v>
      </c>
      <c r="F18">
        <v>50</v>
      </c>
      <c r="G18">
        <v>4</v>
      </c>
      <c r="H18">
        <v>200</v>
      </c>
      <c r="I18" t="s">
        <v>19</v>
      </c>
      <c r="J18" t="s">
        <v>12</v>
      </c>
      <c r="K18" t="s">
        <v>23</v>
      </c>
    </row>
    <row r="19" spans="2:11" x14ac:dyDescent="0.25">
      <c r="B19">
        <v>15</v>
      </c>
      <c r="C19" s="1">
        <v>44960</v>
      </c>
      <c r="D19" t="s">
        <v>10</v>
      </c>
      <c r="E19" t="s">
        <v>11</v>
      </c>
      <c r="F19">
        <v>20</v>
      </c>
      <c r="G19">
        <v>3</v>
      </c>
      <c r="H19">
        <v>60</v>
      </c>
      <c r="I19" t="s">
        <v>15</v>
      </c>
      <c r="J19" t="s">
        <v>22</v>
      </c>
      <c r="K19" t="s">
        <v>20</v>
      </c>
    </row>
    <row r="20" spans="2:11" x14ac:dyDescent="0.25">
      <c r="B20">
        <v>16</v>
      </c>
      <c r="C20" s="1">
        <v>44665</v>
      </c>
      <c r="D20" t="s">
        <v>25</v>
      </c>
      <c r="E20" t="s">
        <v>11</v>
      </c>
      <c r="F20">
        <v>60</v>
      </c>
      <c r="G20">
        <v>11</v>
      </c>
      <c r="H20">
        <v>660</v>
      </c>
      <c r="J20" t="s">
        <v>22</v>
      </c>
      <c r="K20" t="s">
        <v>26</v>
      </c>
    </row>
    <row r="21" spans="2:11" x14ac:dyDescent="0.25">
      <c r="B21">
        <v>17</v>
      </c>
      <c r="C21" s="1">
        <v>44850</v>
      </c>
      <c r="D21" t="s">
        <v>21</v>
      </c>
      <c r="E21" t="s">
        <v>11</v>
      </c>
      <c r="F21">
        <v>20</v>
      </c>
      <c r="G21">
        <v>11</v>
      </c>
      <c r="H21">
        <v>220</v>
      </c>
      <c r="I21" t="s">
        <v>15</v>
      </c>
      <c r="J21" t="s">
        <v>22</v>
      </c>
      <c r="K21" t="s">
        <v>23</v>
      </c>
    </row>
    <row r="22" spans="2:11" x14ac:dyDescent="0.25">
      <c r="B22">
        <v>18</v>
      </c>
      <c r="C22" s="1">
        <v>44870</v>
      </c>
      <c r="D22" t="s">
        <v>21</v>
      </c>
      <c r="E22" t="s">
        <v>11</v>
      </c>
      <c r="F22">
        <v>20</v>
      </c>
      <c r="G22">
        <v>10</v>
      </c>
      <c r="H22">
        <v>200</v>
      </c>
      <c r="I22" t="s">
        <v>15</v>
      </c>
      <c r="J22" t="s">
        <v>22</v>
      </c>
      <c r="K22" t="s">
        <v>13</v>
      </c>
    </row>
    <row r="23" spans="2:11" x14ac:dyDescent="0.25">
      <c r="B23">
        <v>19</v>
      </c>
      <c r="C23" s="1">
        <v>44795</v>
      </c>
      <c r="D23" t="s">
        <v>21</v>
      </c>
      <c r="E23" t="s">
        <v>11</v>
      </c>
      <c r="F23">
        <v>20</v>
      </c>
      <c r="G23">
        <v>11</v>
      </c>
      <c r="H23">
        <v>220</v>
      </c>
      <c r="I23" t="s">
        <v>15</v>
      </c>
      <c r="J23" t="s">
        <v>22</v>
      </c>
      <c r="K23" t="s">
        <v>13</v>
      </c>
    </row>
    <row r="24" spans="2:11" x14ac:dyDescent="0.25">
      <c r="B24">
        <v>20</v>
      </c>
      <c r="C24" s="1">
        <v>44819</v>
      </c>
      <c r="D24" t="s">
        <v>27</v>
      </c>
      <c r="E24" t="s">
        <v>18</v>
      </c>
      <c r="F24">
        <v>40</v>
      </c>
      <c r="G24">
        <v>10</v>
      </c>
      <c r="H24">
        <v>400</v>
      </c>
      <c r="I24" t="s">
        <v>19</v>
      </c>
      <c r="J24" t="s">
        <v>12</v>
      </c>
      <c r="K24" t="s">
        <v>13</v>
      </c>
    </row>
    <row r="25" spans="2:11" x14ac:dyDescent="0.25">
      <c r="B25">
        <v>21</v>
      </c>
      <c r="C25" s="1">
        <v>44916</v>
      </c>
      <c r="D25" t="s">
        <v>27</v>
      </c>
      <c r="E25" t="s">
        <v>18</v>
      </c>
      <c r="F25">
        <v>40</v>
      </c>
      <c r="G25">
        <v>15</v>
      </c>
      <c r="H25">
        <v>600</v>
      </c>
      <c r="I25" t="s">
        <v>15</v>
      </c>
      <c r="J25" t="s">
        <v>12</v>
      </c>
      <c r="K25" t="s">
        <v>20</v>
      </c>
    </row>
    <row r="26" spans="2:11" x14ac:dyDescent="0.25">
      <c r="B26">
        <v>22</v>
      </c>
      <c r="C26" s="1">
        <v>44838</v>
      </c>
      <c r="D26" t="s">
        <v>17</v>
      </c>
      <c r="E26" t="s">
        <v>18</v>
      </c>
      <c r="F26">
        <v>25</v>
      </c>
      <c r="G26">
        <v>12</v>
      </c>
      <c r="H26">
        <v>300</v>
      </c>
      <c r="I26" t="s">
        <v>19</v>
      </c>
      <c r="J26" t="s">
        <v>12</v>
      </c>
      <c r="K26" t="s">
        <v>20</v>
      </c>
    </row>
    <row r="27" spans="2:11" x14ac:dyDescent="0.25">
      <c r="B27">
        <v>23</v>
      </c>
      <c r="C27" s="1">
        <v>44707</v>
      </c>
      <c r="D27" t="s">
        <v>25</v>
      </c>
      <c r="E27" t="s">
        <v>11</v>
      </c>
      <c r="F27">
        <v>60</v>
      </c>
      <c r="G27">
        <v>3</v>
      </c>
      <c r="H27">
        <v>180</v>
      </c>
      <c r="I27" t="s">
        <v>19</v>
      </c>
      <c r="J27" t="s">
        <v>12</v>
      </c>
      <c r="K27" t="s">
        <v>26</v>
      </c>
    </row>
    <row r="28" spans="2:11" x14ac:dyDescent="0.25">
      <c r="B28">
        <v>24</v>
      </c>
      <c r="C28" s="1">
        <v>44968</v>
      </c>
      <c r="D28" t="s">
        <v>17</v>
      </c>
      <c r="E28" t="s">
        <v>18</v>
      </c>
      <c r="F28">
        <v>25</v>
      </c>
      <c r="G28">
        <v>10</v>
      </c>
      <c r="H28">
        <v>250</v>
      </c>
      <c r="I28" t="s">
        <v>19</v>
      </c>
      <c r="J28" t="s">
        <v>12</v>
      </c>
      <c r="K28" t="s">
        <v>16</v>
      </c>
    </row>
    <row r="29" spans="2:11" x14ac:dyDescent="0.25">
      <c r="B29">
        <v>25</v>
      </c>
      <c r="C29" s="1">
        <v>44804</v>
      </c>
      <c r="D29" t="s">
        <v>25</v>
      </c>
      <c r="E29" t="s">
        <v>11</v>
      </c>
      <c r="F29">
        <v>60</v>
      </c>
      <c r="G29">
        <v>1</v>
      </c>
      <c r="H29">
        <v>60</v>
      </c>
      <c r="I29" t="s">
        <v>19</v>
      </c>
      <c r="J29" t="s">
        <v>22</v>
      </c>
      <c r="K29" t="s">
        <v>20</v>
      </c>
    </row>
    <row r="30" spans="2:11" x14ac:dyDescent="0.25">
      <c r="B30">
        <v>26</v>
      </c>
      <c r="C30" s="1">
        <v>44791</v>
      </c>
      <c r="D30" t="s">
        <v>17</v>
      </c>
      <c r="E30" t="s">
        <v>18</v>
      </c>
      <c r="F30">
        <v>25</v>
      </c>
      <c r="G30">
        <v>4</v>
      </c>
      <c r="H30">
        <v>100</v>
      </c>
      <c r="I30" t="s">
        <v>15</v>
      </c>
      <c r="J30" t="s">
        <v>12</v>
      </c>
      <c r="K30" t="s">
        <v>16</v>
      </c>
    </row>
    <row r="31" spans="2:11" x14ac:dyDescent="0.25">
      <c r="B31">
        <v>27</v>
      </c>
      <c r="C31" s="1">
        <v>44846</v>
      </c>
      <c r="D31" t="s">
        <v>27</v>
      </c>
      <c r="E31" t="s">
        <v>18</v>
      </c>
      <c r="F31">
        <v>40</v>
      </c>
      <c r="G31">
        <v>11</v>
      </c>
      <c r="H31">
        <v>440</v>
      </c>
      <c r="I31" t="s">
        <v>19</v>
      </c>
      <c r="J31" t="s">
        <v>22</v>
      </c>
      <c r="K31" t="s">
        <v>16</v>
      </c>
    </row>
    <row r="32" spans="2:11" x14ac:dyDescent="0.25">
      <c r="B32">
        <v>28</v>
      </c>
      <c r="C32" s="1">
        <v>44932</v>
      </c>
      <c r="D32" t="s">
        <v>27</v>
      </c>
      <c r="E32" t="s">
        <v>18</v>
      </c>
      <c r="F32">
        <v>40</v>
      </c>
      <c r="G32">
        <v>10</v>
      </c>
      <c r="H32">
        <v>400</v>
      </c>
      <c r="I32" t="s">
        <v>19</v>
      </c>
      <c r="J32" t="s">
        <v>22</v>
      </c>
      <c r="K32" t="s">
        <v>16</v>
      </c>
    </row>
    <row r="33" spans="2:11" x14ac:dyDescent="0.25">
      <c r="B33">
        <v>29</v>
      </c>
      <c r="C33" s="1">
        <v>44967</v>
      </c>
      <c r="D33" t="s">
        <v>17</v>
      </c>
      <c r="E33" t="s">
        <v>18</v>
      </c>
      <c r="F33">
        <v>25</v>
      </c>
      <c r="G33">
        <v>9</v>
      </c>
      <c r="H33">
        <v>225</v>
      </c>
      <c r="I33" t="s">
        <v>19</v>
      </c>
      <c r="J33" t="s">
        <v>12</v>
      </c>
      <c r="K33" t="s">
        <v>16</v>
      </c>
    </row>
    <row r="34" spans="2:11" x14ac:dyDescent="0.25">
      <c r="B34">
        <v>30</v>
      </c>
      <c r="C34" s="1">
        <v>44954</v>
      </c>
      <c r="D34" t="s">
        <v>24</v>
      </c>
      <c r="E34" t="s">
        <v>11</v>
      </c>
      <c r="F34">
        <v>50</v>
      </c>
      <c r="G34">
        <v>2</v>
      </c>
      <c r="H34">
        <v>100</v>
      </c>
      <c r="I34" t="s">
        <v>15</v>
      </c>
      <c r="J34" t="s">
        <v>22</v>
      </c>
      <c r="K34" t="s">
        <v>13</v>
      </c>
    </row>
    <row r="35" spans="2:11" x14ac:dyDescent="0.25">
      <c r="B35">
        <v>31</v>
      </c>
      <c r="C35" s="1">
        <v>44818</v>
      </c>
      <c r="D35" t="s">
        <v>27</v>
      </c>
      <c r="E35" t="s">
        <v>18</v>
      </c>
      <c r="F35">
        <v>40</v>
      </c>
      <c r="G35">
        <v>13</v>
      </c>
      <c r="H35">
        <v>520</v>
      </c>
      <c r="I35" t="s">
        <v>19</v>
      </c>
      <c r="J35" t="s">
        <v>22</v>
      </c>
      <c r="K35" t="s">
        <v>20</v>
      </c>
    </row>
    <row r="36" spans="2:11" x14ac:dyDescent="0.25">
      <c r="B36">
        <v>32</v>
      </c>
      <c r="C36" s="1">
        <v>44687</v>
      </c>
      <c r="D36" t="s">
        <v>10</v>
      </c>
      <c r="E36" t="s">
        <v>11</v>
      </c>
      <c r="F36">
        <v>20</v>
      </c>
      <c r="G36">
        <v>4</v>
      </c>
      <c r="H36">
        <v>80</v>
      </c>
      <c r="J36" t="s">
        <v>12</v>
      </c>
      <c r="K36" t="s">
        <v>23</v>
      </c>
    </row>
    <row r="37" spans="2:11" x14ac:dyDescent="0.25">
      <c r="B37">
        <v>33</v>
      </c>
      <c r="C37" s="1">
        <v>44962</v>
      </c>
      <c r="D37" t="s">
        <v>10</v>
      </c>
      <c r="E37" t="s">
        <v>11</v>
      </c>
      <c r="F37">
        <v>20</v>
      </c>
      <c r="G37">
        <v>13</v>
      </c>
      <c r="H37">
        <v>260</v>
      </c>
      <c r="I37" t="s">
        <v>19</v>
      </c>
      <c r="J37" t="s">
        <v>12</v>
      </c>
      <c r="K37" t="s">
        <v>13</v>
      </c>
    </row>
    <row r="38" spans="2:11" x14ac:dyDescent="0.25">
      <c r="B38">
        <v>34</v>
      </c>
      <c r="C38" s="1">
        <v>44961</v>
      </c>
      <c r="D38" t="s">
        <v>24</v>
      </c>
      <c r="E38" t="s">
        <v>11</v>
      </c>
      <c r="F38">
        <v>50</v>
      </c>
      <c r="G38">
        <v>12</v>
      </c>
      <c r="H38">
        <v>600</v>
      </c>
      <c r="I38" t="s">
        <v>19</v>
      </c>
      <c r="J38" t="s">
        <v>22</v>
      </c>
      <c r="K38" t="s">
        <v>20</v>
      </c>
    </row>
    <row r="39" spans="2:11" x14ac:dyDescent="0.25">
      <c r="B39">
        <v>35</v>
      </c>
      <c r="C39" s="1">
        <v>44703</v>
      </c>
      <c r="D39" t="s">
        <v>14</v>
      </c>
      <c r="E39" t="s">
        <v>11</v>
      </c>
      <c r="F39">
        <v>20</v>
      </c>
      <c r="G39">
        <v>8</v>
      </c>
      <c r="H39">
        <v>160</v>
      </c>
      <c r="I39" t="s">
        <v>15</v>
      </c>
      <c r="J39" t="s">
        <v>12</v>
      </c>
      <c r="K39" t="s">
        <v>23</v>
      </c>
    </row>
    <row r="40" spans="2:11" x14ac:dyDescent="0.25">
      <c r="B40">
        <v>36</v>
      </c>
      <c r="C40" s="1">
        <v>44744</v>
      </c>
      <c r="D40" t="s">
        <v>27</v>
      </c>
      <c r="E40" t="s">
        <v>18</v>
      </c>
      <c r="F40">
        <v>40</v>
      </c>
      <c r="G40">
        <v>10</v>
      </c>
      <c r="H40">
        <v>400</v>
      </c>
      <c r="I40" t="s">
        <v>19</v>
      </c>
      <c r="J40" t="s">
        <v>12</v>
      </c>
      <c r="K40" t="s">
        <v>16</v>
      </c>
    </row>
    <row r="41" spans="2:11" x14ac:dyDescent="0.25">
      <c r="B41">
        <v>37</v>
      </c>
      <c r="C41" s="1">
        <v>44931</v>
      </c>
      <c r="D41" t="s">
        <v>24</v>
      </c>
      <c r="E41" t="s">
        <v>11</v>
      </c>
      <c r="F41">
        <v>50</v>
      </c>
      <c r="G41">
        <v>10</v>
      </c>
      <c r="H41">
        <v>500</v>
      </c>
      <c r="I41" t="s">
        <v>15</v>
      </c>
      <c r="J41" t="s">
        <v>12</v>
      </c>
      <c r="K41" t="s">
        <v>13</v>
      </c>
    </row>
    <row r="42" spans="2:11" x14ac:dyDescent="0.25">
      <c r="B42">
        <v>38</v>
      </c>
      <c r="C42" s="1">
        <v>44993</v>
      </c>
      <c r="D42" t="s">
        <v>21</v>
      </c>
      <c r="E42" t="s">
        <v>11</v>
      </c>
      <c r="F42">
        <v>20</v>
      </c>
      <c r="G42">
        <v>12</v>
      </c>
      <c r="H42">
        <v>240</v>
      </c>
      <c r="I42" t="s">
        <v>19</v>
      </c>
      <c r="J42" t="s">
        <v>22</v>
      </c>
      <c r="K42" t="s">
        <v>13</v>
      </c>
    </row>
    <row r="43" spans="2:11" x14ac:dyDescent="0.25">
      <c r="B43">
        <v>39</v>
      </c>
      <c r="C43" s="1">
        <v>44695</v>
      </c>
      <c r="D43" t="s">
        <v>14</v>
      </c>
      <c r="E43" t="s">
        <v>11</v>
      </c>
      <c r="F43">
        <v>20</v>
      </c>
      <c r="G43">
        <v>2</v>
      </c>
      <c r="H43">
        <v>40</v>
      </c>
      <c r="I43" t="s">
        <v>19</v>
      </c>
      <c r="J43" t="s">
        <v>12</v>
      </c>
      <c r="K43" t="s">
        <v>20</v>
      </c>
    </row>
    <row r="44" spans="2:11" x14ac:dyDescent="0.25">
      <c r="B44">
        <v>40</v>
      </c>
      <c r="C44" s="1">
        <v>44962</v>
      </c>
      <c r="D44" t="s">
        <v>25</v>
      </c>
      <c r="E44" t="s">
        <v>11</v>
      </c>
      <c r="F44">
        <v>60</v>
      </c>
      <c r="G44">
        <v>5</v>
      </c>
      <c r="H44">
        <v>300</v>
      </c>
      <c r="I44" t="s">
        <v>19</v>
      </c>
      <c r="J44" t="s">
        <v>22</v>
      </c>
      <c r="K44" t="s">
        <v>13</v>
      </c>
    </row>
    <row r="45" spans="2:11" x14ac:dyDescent="0.25">
      <c r="B45">
        <v>41</v>
      </c>
      <c r="C45" s="1">
        <v>44878</v>
      </c>
      <c r="D45" t="s">
        <v>27</v>
      </c>
      <c r="E45" t="s">
        <v>18</v>
      </c>
      <c r="F45">
        <v>40</v>
      </c>
      <c r="G45">
        <v>11</v>
      </c>
      <c r="H45">
        <v>440</v>
      </c>
      <c r="J45" t="s">
        <v>12</v>
      </c>
      <c r="K45" t="s">
        <v>16</v>
      </c>
    </row>
    <row r="46" spans="2:11" x14ac:dyDescent="0.25">
      <c r="B46">
        <v>42</v>
      </c>
      <c r="C46" s="1">
        <v>44690</v>
      </c>
      <c r="D46" t="s">
        <v>10</v>
      </c>
      <c r="E46" t="s">
        <v>11</v>
      </c>
      <c r="F46">
        <v>20</v>
      </c>
      <c r="G46">
        <v>8</v>
      </c>
      <c r="H46">
        <v>160</v>
      </c>
      <c r="I46" t="s">
        <v>19</v>
      </c>
      <c r="J46" t="s">
        <v>22</v>
      </c>
      <c r="K46" t="s">
        <v>13</v>
      </c>
    </row>
    <row r="47" spans="2:11" x14ac:dyDescent="0.25">
      <c r="B47">
        <v>43</v>
      </c>
      <c r="C47" s="1">
        <v>44707</v>
      </c>
      <c r="D47" t="s">
        <v>14</v>
      </c>
      <c r="E47" t="s">
        <v>11</v>
      </c>
      <c r="F47">
        <v>20</v>
      </c>
      <c r="G47">
        <v>1</v>
      </c>
      <c r="H47">
        <v>20</v>
      </c>
      <c r="I47" t="s">
        <v>15</v>
      </c>
      <c r="J47" t="s">
        <v>12</v>
      </c>
      <c r="K47" t="s">
        <v>13</v>
      </c>
    </row>
    <row r="48" spans="2:11" x14ac:dyDescent="0.25">
      <c r="B48">
        <v>44</v>
      </c>
      <c r="C48" s="1">
        <v>44801</v>
      </c>
      <c r="D48" t="s">
        <v>27</v>
      </c>
      <c r="E48" t="s">
        <v>18</v>
      </c>
      <c r="F48">
        <v>40</v>
      </c>
      <c r="G48">
        <v>12</v>
      </c>
      <c r="H48">
        <v>480</v>
      </c>
      <c r="I48" t="s">
        <v>15</v>
      </c>
      <c r="J48" t="s">
        <v>12</v>
      </c>
      <c r="K48" t="s">
        <v>20</v>
      </c>
    </row>
    <row r="49" spans="2:11" x14ac:dyDescent="0.25">
      <c r="B49">
        <v>45</v>
      </c>
      <c r="C49" s="1">
        <v>44788</v>
      </c>
      <c r="D49" t="s">
        <v>17</v>
      </c>
      <c r="E49" t="s">
        <v>18</v>
      </c>
      <c r="F49">
        <v>25</v>
      </c>
      <c r="G49">
        <v>6</v>
      </c>
      <c r="H49">
        <v>150</v>
      </c>
      <c r="I49" t="s">
        <v>15</v>
      </c>
      <c r="J49" t="s">
        <v>22</v>
      </c>
      <c r="K49" t="s">
        <v>16</v>
      </c>
    </row>
    <row r="50" spans="2:11" x14ac:dyDescent="0.25">
      <c r="B50">
        <v>46</v>
      </c>
      <c r="C50" s="1">
        <v>44688</v>
      </c>
      <c r="D50" t="s">
        <v>14</v>
      </c>
      <c r="E50" t="s">
        <v>11</v>
      </c>
      <c r="F50">
        <v>20</v>
      </c>
      <c r="G50">
        <v>7</v>
      </c>
      <c r="H50">
        <v>140</v>
      </c>
      <c r="I50" t="s">
        <v>15</v>
      </c>
      <c r="J50" t="s">
        <v>12</v>
      </c>
      <c r="K50" t="s">
        <v>20</v>
      </c>
    </row>
    <row r="51" spans="2:11" x14ac:dyDescent="0.25">
      <c r="B51">
        <v>47</v>
      </c>
      <c r="C51" s="1">
        <v>44752</v>
      </c>
      <c r="D51" t="s">
        <v>25</v>
      </c>
      <c r="E51" t="s">
        <v>11</v>
      </c>
      <c r="F51">
        <v>60</v>
      </c>
      <c r="G51">
        <v>7</v>
      </c>
      <c r="H51">
        <v>420</v>
      </c>
      <c r="J51" t="s">
        <v>12</v>
      </c>
      <c r="K51" t="s">
        <v>23</v>
      </c>
    </row>
    <row r="52" spans="2:11" x14ac:dyDescent="0.25">
      <c r="B52">
        <v>48</v>
      </c>
      <c r="C52" s="1">
        <v>44980</v>
      </c>
      <c r="D52" t="s">
        <v>25</v>
      </c>
      <c r="E52" t="s">
        <v>11</v>
      </c>
      <c r="F52">
        <v>60</v>
      </c>
      <c r="G52">
        <v>14</v>
      </c>
      <c r="H52">
        <v>840</v>
      </c>
      <c r="I52" t="s">
        <v>19</v>
      </c>
      <c r="J52" t="s">
        <v>12</v>
      </c>
      <c r="K52" t="s">
        <v>16</v>
      </c>
    </row>
    <row r="53" spans="2:11" x14ac:dyDescent="0.25">
      <c r="B53">
        <v>49</v>
      </c>
      <c r="C53" s="1">
        <v>44871</v>
      </c>
      <c r="D53" t="s">
        <v>24</v>
      </c>
      <c r="E53" t="s">
        <v>11</v>
      </c>
      <c r="F53">
        <v>50</v>
      </c>
      <c r="G53">
        <v>4</v>
      </c>
      <c r="H53">
        <v>200</v>
      </c>
      <c r="I53" t="s">
        <v>19</v>
      </c>
      <c r="J53" t="s">
        <v>22</v>
      </c>
      <c r="K53" t="s">
        <v>23</v>
      </c>
    </row>
    <row r="54" spans="2:11" x14ac:dyDescent="0.25">
      <c r="B54">
        <v>50</v>
      </c>
      <c r="C54" s="1">
        <v>44867</v>
      </c>
      <c r="D54" t="s">
        <v>14</v>
      </c>
      <c r="E54" t="s">
        <v>11</v>
      </c>
      <c r="F54">
        <v>20</v>
      </c>
      <c r="G54">
        <v>8</v>
      </c>
      <c r="H54">
        <v>160</v>
      </c>
      <c r="I54" t="s">
        <v>15</v>
      </c>
      <c r="J54" t="s">
        <v>22</v>
      </c>
      <c r="K54" t="s">
        <v>26</v>
      </c>
    </row>
    <row r="55" spans="2:11" x14ac:dyDescent="0.25">
      <c r="B55">
        <v>51</v>
      </c>
      <c r="C55" s="1">
        <v>44697</v>
      </c>
      <c r="D55" t="s">
        <v>24</v>
      </c>
      <c r="E55" t="s">
        <v>11</v>
      </c>
      <c r="F55">
        <v>50</v>
      </c>
      <c r="G55">
        <v>15</v>
      </c>
      <c r="H55">
        <v>750</v>
      </c>
      <c r="I55" t="s">
        <v>19</v>
      </c>
      <c r="J55" t="s">
        <v>22</v>
      </c>
      <c r="K55" t="s">
        <v>23</v>
      </c>
    </row>
    <row r="56" spans="2:11" x14ac:dyDescent="0.25">
      <c r="B56">
        <v>52</v>
      </c>
      <c r="C56" s="1">
        <v>45001</v>
      </c>
      <c r="D56" t="s">
        <v>17</v>
      </c>
      <c r="E56" t="s">
        <v>18</v>
      </c>
      <c r="F56">
        <v>25</v>
      </c>
      <c r="G56">
        <v>12</v>
      </c>
      <c r="H56">
        <v>300</v>
      </c>
      <c r="I56" t="s">
        <v>15</v>
      </c>
      <c r="J56" t="s">
        <v>22</v>
      </c>
      <c r="K56" t="s">
        <v>26</v>
      </c>
    </row>
    <row r="57" spans="2:11" x14ac:dyDescent="0.25">
      <c r="B57">
        <v>53</v>
      </c>
      <c r="C57" s="1">
        <v>44768</v>
      </c>
      <c r="D57" t="s">
        <v>10</v>
      </c>
      <c r="E57" t="s">
        <v>11</v>
      </c>
      <c r="F57">
        <v>20</v>
      </c>
      <c r="G57">
        <v>13</v>
      </c>
      <c r="H57">
        <v>260</v>
      </c>
      <c r="I57" t="s">
        <v>15</v>
      </c>
      <c r="J57" t="s">
        <v>12</v>
      </c>
      <c r="K57" t="s">
        <v>16</v>
      </c>
    </row>
    <row r="58" spans="2:11" x14ac:dyDescent="0.25">
      <c r="B58">
        <v>54</v>
      </c>
      <c r="C58" s="1">
        <v>44923</v>
      </c>
      <c r="D58" t="s">
        <v>21</v>
      </c>
      <c r="E58" t="s">
        <v>11</v>
      </c>
      <c r="F58">
        <v>20</v>
      </c>
      <c r="G58">
        <v>14</v>
      </c>
      <c r="H58">
        <v>280</v>
      </c>
      <c r="I58" t="s">
        <v>19</v>
      </c>
      <c r="J58" t="s">
        <v>22</v>
      </c>
      <c r="K58" t="s">
        <v>23</v>
      </c>
    </row>
    <row r="59" spans="2:11" x14ac:dyDescent="0.25">
      <c r="B59">
        <v>55</v>
      </c>
      <c r="C59" s="1">
        <v>44688</v>
      </c>
      <c r="D59" t="s">
        <v>25</v>
      </c>
      <c r="E59" t="s">
        <v>11</v>
      </c>
      <c r="F59">
        <v>60</v>
      </c>
      <c r="G59">
        <v>10</v>
      </c>
      <c r="H59">
        <v>600</v>
      </c>
      <c r="I59" t="s">
        <v>15</v>
      </c>
      <c r="J59" t="s">
        <v>12</v>
      </c>
      <c r="K59" t="s">
        <v>13</v>
      </c>
    </row>
    <row r="60" spans="2:11" x14ac:dyDescent="0.25">
      <c r="B60">
        <v>56</v>
      </c>
      <c r="C60" s="1">
        <v>44888</v>
      </c>
      <c r="D60" t="s">
        <v>21</v>
      </c>
      <c r="E60" t="s">
        <v>11</v>
      </c>
      <c r="F60">
        <v>20</v>
      </c>
      <c r="G60">
        <v>11</v>
      </c>
      <c r="H60">
        <v>220</v>
      </c>
      <c r="I60" t="s">
        <v>15</v>
      </c>
      <c r="J60" t="s">
        <v>22</v>
      </c>
      <c r="K60" t="s">
        <v>26</v>
      </c>
    </row>
    <row r="61" spans="2:11" x14ac:dyDescent="0.25">
      <c r="B61">
        <v>57</v>
      </c>
      <c r="C61" s="1">
        <v>44777</v>
      </c>
      <c r="D61" t="s">
        <v>21</v>
      </c>
      <c r="E61" t="s">
        <v>11</v>
      </c>
      <c r="F61">
        <v>20</v>
      </c>
      <c r="G61">
        <v>14</v>
      </c>
      <c r="H61">
        <v>280</v>
      </c>
      <c r="I61" t="s">
        <v>19</v>
      </c>
      <c r="J61" t="s">
        <v>22</v>
      </c>
      <c r="K61" t="s">
        <v>23</v>
      </c>
    </row>
    <row r="62" spans="2:11" x14ac:dyDescent="0.25">
      <c r="B62">
        <v>58</v>
      </c>
      <c r="C62" s="1">
        <v>44960</v>
      </c>
      <c r="D62" t="s">
        <v>14</v>
      </c>
      <c r="E62" t="s">
        <v>11</v>
      </c>
      <c r="F62">
        <v>20</v>
      </c>
      <c r="G62">
        <v>6</v>
      </c>
      <c r="H62">
        <v>120</v>
      </c>
      <c r="I62" t="s">
        <v>19</v>
      </c>
      <c r="J62" t="s">
        <v>22</v>
      </c>
      <c r="K62" t="s">
        <v>23</v>
      </c>
    </row>
    <row r="63" spans="2:11" x14ac:dyDescent="0.25">
      <c r="B63">
        <v>59</v>
      </c>
      <c r="C63" s="1">
        <v>44743</v>
      </c>
      <c r="D63" t="s">
        <v>14</v>
      </c>
      <c r="E63" t="s">
        <v>11</v>
      </c>
      <c r="F63">
        <v>20</v>
      </c>
      <c r="G63">
        <v>5</v>
      </c>
      <c r="H63">
        <v>100</v>
      </c>
      <c r="I63" t="s">
        <v>15</v>
      </c>
      <c r="J63" t="s">
        <v>12</v>
      </c>
      <c r="K63" t="s">
        <v>23</v>
      </c>
    </row>
    <row r="64" spans="2:11" x14ac:dyDescent="0.25">
      <c r="B64">
        <v>60</v>
      </c>
      <c r="C64" s="1">
        <v>44723</v>
      </c>
      <c r="D64" t="s">
        <v>27</v>
      </c>
      <c r="E64" t="s">
        <v>18</v>
      </c>
      <c r="F64">
        <v>40</v>
      </c>
      <c r="G64">
        <v>2</v>
      </c>
      <c r="H64">
        <v>80</v>
      </c>
      <c r="I64" t="s">
        <v>19</v>
      </c>
      <c r="J64" t="s">
        <v>12</v>
      </c>
      <c r="K64" t="s">
        <v>13</v>
      </c>
    </row>
    <row r="65" spans="2:11" x14ac:dyDescent="0.25">
      <c r="B65">
        <v>61</v>
      </c>
      <c r="C65" s="1">
        <v>44920</v>
      </c>
      <c r="D65" t="s">
        <v>14</v>
      </c>
      <c r="E65" t="s">
        <v>11</v>
      </c>
      <c r="F65">
        <v>20</v>
      </c>
      <c r="G65">
        <v>14</v>
      </c>
      <c r="H65">
        <v>280</v>
      </c>
      <c r="I65" t="s">
        <v>15</v>
      </c>
      <c r="J65" t="s">
        <v>22</v>
      </c>
      <c r="K65" t="s">
        <v>16</v>
      </c>
    </row>
    <row r="66" spans="2:11" x14ac:dyDescent="0.25">
      <c r="B66">
        <v>62</v>
      </c>
      <c r="C66" s="1">
        <v>44851</v>
      </c>
      <c r="D66" t="s">
        <v>17</v>
      </c>
      <c r="E66" t="s">
        <v>18</v>
      </c>
      <c r="F66">
        <v>25</v>
      </c>
      <c r="G66">
        <v>3</v>
      </c>
      <c r="H66">
        <v>75</v>
      </c>
      <c r="I66" t="s">
        <v>15</v>
      </c>
      <c r="J66" t="s">
        <v>12</v>
      </c>
      <c r="K66" t="s">
        <v>16</v>
      </c>
    </row>
    <row r="67" spans="2:11" x14ac:dyDescent="0.25">
      <c r="B67">
        <v>63</v>
      </c>
      <c r="C67" s="1">
        <v>44896</v>
      </c>
      <c r="D67" t="s">
        <v>25</v>
      </c>
      <c r="E67" t="s">
        <v>11</v>
      </c>
      <c r="F67">
        <v>60</v>
      </c>
      <c r="G67">
        <v>7</v>
      </c>
      <c r="H67">
        <v>420</v>
      </c>
      <c r="I67" t="s">
        <v>19</v>
      </c>
      <c r="J67" t="s">
        <v>22</v>
      </c>
      <c r="K67" t="s">
        <v>23</v>
      </c>
    </row>
    <row r="68" spans="2:11" x14ac:dyDescent="0.25">
      <c r="B68">
        <v>64</v>
      </c>
      <c r="C68" s="1">
        <v>44904</v>
      </c>
      <c r="D68" t="s">
        <v>27</v>
      </c>
      <c r="E68" t="s">
        <v>18</v>
      </c>
      <c r="F68">
        <v>40</v>
      </c>
      <c r="G68">
        <v>1</v>
      </c>
      <c r="H68">
        <v>40</v>
      </c>
      <c r="I68" t="s">
        <v>15</v>
      </c>
      <c r="J68" t="s">
        <v>12</v>
      </c>
      <c r="K68" t="s">
        <v>23</v>
      </c>
    </row>
    <row r="69" spans="2:11" x14ac:dyDescent="0.25">
      <c r="B69">
        <v>65</v>
      </c>
      <c r="C69" s="1">
        <v>44767</v>
      </c>
      <c r="D69" t="s">
        <v>10</v>
      </c>
      <c r="E69" t="s">
        <v>11</v>
      </c>
      <c r="F69">
        <v>20</v>
      </c>
      <c r="G69">
        <v>4</v>
      </c>
      <c r="H69">
        <v>80</v>
      </c>
      <c r="I69" t="s">
        <v>15</v>
      </c>
      <c r="J69" t="s">
        <v>12</v>
      </c>
      <c r="K69" t="s">
        <v>23</v>
      </c>
    </row>
    <row r="70" spans="2:11" x14ac:dyDescent="0.25">
      <c r="B70">
        <v>66</v>
      </c>
      <c r="C70" s="1">
        <v>44656</v>
      </c>
      <c r="D70" t="s">
        <v>24</v>
      </c>
      <c r="E70" t="s">
        <v>11</v>
      </c>
      <c r="F70">
        <v>50</v>
      </c>
      <c r="G70">
        <v>2</v>
      </c>
      <c r="H70">
        <v>100</v>
      </c>
      <c r="I70" t="s">
        <v>15</v>
      </c>
      <c r="J70" t="s">
        <v>22</v>
      </c>
      <c r="K70" t="s">
        <v>23</v>
      </c>
    </row>
    <row r="71" spans="2:11" x14ac:dyDescent="0.25">
      <c r="B71">
        <v>67</v>
      </c>
      <c r="C71" s="1">
        <v>44696</v>
      </c>
      <c r="D71" t="s">
        <v>10</v>
      </c>
      <c r="E71" t="s">
        <v>11</v>
      </c>
      <c r="F71">
        <v>20</v>
      </c>
      <c r="G71">
        <v>9</v>
      </c>
      <c r="H71">
        <v>180</v>
      </c>
      <c r="I71" t="s">
        <v>15</v>
      </c>
      <c r="J71" t="s">
        <v>12</v>
      </c>
      <c r="K71" t="s">
        <v>26</v>
      </c>
    </row>
    <row r="72" spans="2:11" x14ac:dyDescent="0.25">
      <c r="B72">
        <v>68</v>
      </c>
      <c r="C72" s="1">
        <v>44912</v>
      </c>
      <c r="D72" t="s">
        <v>27</v>
      </c>
      <c r="E72" t="s">
        <v>18</v>
      </c>
      <c r="F72">
        <v>40</v>
      </c>
      <c r="G72">
        <v>2</v>
      </c>
      <c r="H72">
        <v>80</v>
      </c>
      <c r="J72" t="s">
        <v>12</v>
      </c>
      <c r="K72" t="s">
        <v>13</v>
      </c>
    </row>
    <row r="73" spans="2:11" x14ac:dyDescent="0.25">
      <c r="B73">
        <v>69</v>
      </c>
      <c r="C73" s="1">
        <v>44936</v>
      </c>
      <c r="D73" t="s">
        <v>14</v>
      </c>
      <c r="E73" t="s">
        <v>11</v>
      </c>
      <c r="F73">
        <v>20</v>
      </c>
      <c r="G73">
        <v>7</v>
      </c>
      <c r="H73">
        <v>140</v>
      </c>
      <c r="I73" t="s">
        <v>15</v>
      </c>
      <c r="J73" t="s">
        <v>12</v>
      </c>
      <c r="K73" t="s">
        <v>26</v>
      </c>
    </row>
    <row r="74" spans="2:11" x14ac:dyDescent="0.25">
      <c r="B74">
        <v>70</v>
      </c>
      <c r="C74" s="1">
        <v>44690</v>
      </c>
      <c r="D74" t="s">
        <v>27</v>
      </c>
      <c r="E74" t="s">
        <v>18</v>
      </c>
      <c r="F74">
        <v>40</v>
      </c>
      <c r="G74">
        <v>14</v>
      </c>
      <c r="H74">
        <v>560</v>
      </c>
      <c r="J74" t="s">
        <v>22</v>
      </c>
      <c r="K74" t="s">
        <v>23</v>
      </c>
    </row>
    <row r="75" spans="2:11" x14ac:dyDescent="0.25">
      <c r="B75">
        <v>71</v>
      </c>
      <c r="C75" s="1">
        <v>44900</v>
      </c>
      <c r="D75" t="s">
        <v>27</v>
      </c>
      <c r="E75" t="s">
        <v>18</v>
      </c>
      <c r="F75">
        <v>40</v>
      </c>
      <c r="G75">
        <v>6</v>
      </c>
      <c r="H75">
        <v>240</v>
      </c>
      <c r="I75" t="s">
        <v>19</v>
      </c>
      <c r="J75" t="s">
        <v>12</v>
      </c>
      <c r="K75" t="s">
        <v>13</v>
      </c>
    </row>
    <row r="76" spans="2:11" x14ac:dyDescent="0.25">
      <c r="B76">
        <v>72</v>
      </c>
      <c r="C76" s="1">
        <v>44994</v>
      </c>
      <c r="D76" t="s">
        <v>24</v>
      </c>
      <c r="E76" t="s">
        <v>11</v>
      </c>
      <c r="F76">
        <v>50</v>
      </c>
      <c r="G76">
        <v>13</v>
      </c>
      <c r="H76">
        <v>650</v>
      </c>
      <c r="I76" t="s">
        <v>19</v>
      </c>
      <c r="J76" t="s">
        <v>12</v>
      </c>
      <c r="K76" t="s">
        <v>16</v>
      </c>
    </row>
    <row r="77" spans="2:11" x14ac:dyDescent="0.25">
      <c r="B77">
        <v>73</v>
      </c>
      <c r="C77" s="1">
        <v>44771</v>
      </c>
      <c r="D77" t="s">
        <v>21</v>
      </c>
      <c r="E77" t="s">
        <v>11</v>
      </c>
      <c r="F77">
        <v>20</v>
      </c>
      <c r="G77">
        <v>5</v>
      </c>
      <c r="H77">
        <v>100</v>
      </c>
      <c r="I77" t="s">
        <v>15</v>
      </c>
      <c r="J77" t="s">
        <v>12</v>
      </c>
      <c r="K77" t="s">
        <v>26</v>
      </c>
    </row>
    <row r="78" spans="2:11" x14ac:dyDescent="0.25">
      <c r="B78">
        <v>74</v>
      </c>
      <c r="C78" s="1">
        <v>44788</v>
      </c>
      <c r="D78" t="s">
        <v>27</v>
      </c>
      <c r="E78" t="s">
        <v>18</v>
      </c>
      <c r="F78">
        <v>40</v>
      </c>
      <c r="G78">
        <v>10</v>
      </c>
      <c r="H78">
        <v>400</v>
      </c>
      <c r="I78" t="s">
        <v>19</v>
      </c>
      <c r="J78" t="s">
        <v>22</v>
      </c>
      <c r="K78" t="s">
        <v>20</v>
      </c>
    </row>
    <row r="79" spans="2:11" x14ac:dyDescent="0.25">
      <c r="B79">
        <v>75</v>
      </c>
      <c r="C79" s="1">
        <v>44959</v>
      </c>
      <c r="D79" t="s">
        <v>27</v>
      </c>
      <c r="E79" t="s">
        <v>18</v>
      </c>
      <c r="F79">
        <v>40</v>
      </c>
      <c r="G79">
        <v>6</v>
      </c>
      <c r="H79">
        <v>240</v>
      </c>
      <c r="I79" t="s">
        <v>19</v>
      </c>
      <c r="J79" t="s">
        <v>22</v>
      </c>
      <c r="K79" t="s">
        <v>16</v>
      </c>
    </row>
    <row r="80" spans="2:11" x14ac:dyDescent="0.25">
      <c r="B80">
        <v>76</v>
      </c>
      <c r="C80" s="1">
        <v>44790</v>
      </c>
      <c r="D80" t="s">
        <v>14</v>
      </c>
      <c r="E80" t="s">
        <v>11</v>
      </c>
      <c r="F80">
        <v>20</v>
      </c>
      <c r="G80">
        <v>9</v>
      </c>
      <c r="H80">
        <v>180</v>
      </c>
      <c r="I80" t="s">
        <v>19</v>
      </c>
      <c r="J80" t="s">
        <v>12</v>
      </c>
      <c r="K80" t="s">
        <v>23</v>
      </c>
    </row>
    <row r="81" spans="2:11" x14ac:dyDescent="0.25">
      <c r="B81">
        <v>77</v>
      </c>
      <c r="C81" s="1">
        <v>44961</v>
      </c>
      <c r="D81" t="s">
        <v>17</v>
      </c>
      <c r="E81" t="s">
        <v>18</v>
      </c>
      <c r="F81">
        <v>25</v>
      </c>
      <c r="G81">
        <v>12</v>
      </c>
      <c r="H81">
        <v>300</v>
      </c>
      <c r="I81" t="s">
        <v>15</v>
      </c>
      <c r="J81" t="s">
        <v>22</v>
      </c>
      <c r="K81" t="s">
        <v>26</v>
      </c>
    </row>
    <row r="82" spans="2:11" x14ac:dyDescent="0.25">
      <c r="B82">
        <v>78</v>
      </c>
      <c r="C82" s="1">
        <v>44835</v>
      </c>
      <c r="D82" t="s">
        <v>14</v>
      </c>
      <c r="E82" t="s">
        <v>11</v>
      </c>
      <c r="F82">
        <v>20</v>
      </c>
      <c r="G82">
        <v>4</v>
      </c>
      <c r="H82">
        <v>80</v>
      </c>
      <c r="I82" t="s">
        <v>15</v>
      </c>
      <c r="J82" t="s">
        <v>22</v>
      </c>
      <c r="K82" t="s">
        <v>20</v>
      </c>
    </row>
    <row r="83" spans="2:11" x14ac:dyDescent="0.25">
      <c r="B83">
        <v>79</v>
      </c>
      <c r="C83" s="1">
        <v>44870</v>
      </c>
      <c r="D83" t="s">
        <v>21</v>
      </c>
      <c r="E83" t="s">
        <v>11</v>
      </c>
      <c r="F83">
        <v>20</v>
      </c>
      <c r="G83">
        <v>6</v>
      </c>
      <c r="H83">
        <v>120</v>
      </c>
      <c r="I83" t="s">
        <v>19</v>
      </c>
      <c r="J83" t="s">
        <v>12</v>
      </c>
      <c r="K83" t="s">
        <v>13</v>
      </c>
    </row>
    <row r="84" spans="2:11" x14ac:dyDescent="0.25">
      <c r="B84">
        <v>80</v>
      </c>
      <c r="C84" s="1">
        <v>44705</v>
      </c>
      <c r="D84" t="s">
        <v>24</v>
      </c>
      <c r="E84" t="s">
        <v>11</v>
      </c>
      <c r="F84">
        <v>50</v>
      </c>
      <c r="G84">
        <v>13</v>
      </c>
      <c r="H84">
        <v>650</v>
      </c>
      <c r="I84" t="s">
        <v>15</v>
      </c>
      <c r="J84" t="s">
        <v>12</v>
      </c>
      <c r="K84" t="s">
        <v>20</v>
      </c>
    </row>
    <row r="85" spans="2:11" x14ac:dyDescent="0.25">
      <c r="B85">
        <v>81</v>
      </c>
      <c r="C85" s="1">
        <v>44884</v>
      </c>
      <c r="D85" t="s">
        <v>24</v>
      </c>
      <c r="E85" t="s">
        <v>11</v>
      </c>
      <c r="F85">
        <v>50</v>
      </c>
      <c r="G85">
        <v>12</v>
      </c>
      <c r="H85">
        <v>600</v>
      </c>
      <c r="I85" t="s">
        <v>19</v>
      </c>
      <c r="J85" t="s">
        <v>22</v>
      </c>
      <c r="K85" t="s">
        <v>13</v>
      </c>
    </row>
    <row r="86" spans="2:11" x14ac:dyDescent="0.25">
      <c r="B86">
        <v>82</v>
      </c>
      <c r="C86" s="1">
        <v>44759</v>
      </c>
      <c r="D86" t="s">
        <v>24</v>
      </c>
      <c r="E86" t="s">
        <v>11</v>
      </c>
      <c r="F86">
        <v>50</v>
      </c>
      <c r="G86">
        <v>3</v>
      </c>
      <c r="H86">
        <v>150</v>
      </c>
      <c r="I86" t="s">
        <v>19</v>
      </c>
      <c r="J86" t="s">
        <v>22</v>
      </c>
      <c r="K86" t="s">
        <v>20</v>
      </c>
    </row>
    <row r="87" spans="2:11" x14ac:dyDescent="0.25">
      <c r="B87">
        <v>83</v>
      </c>
      <c r="C87" s="1">
        <v>44878</v>
      </c>
      <c r="D87" t="s">
        <v>24</v>
      </c>
      <c r="E87" t="s">
        <v>11</v>
      </c>
      <c r="F87">
        <v>50</v>
      </c>
      <c r="G87">
        <v>11</v>
      </c>
      <c r="H87">
        <v>550</v>
      </c>
      <c r="J87" t="s">
        <v>12</v>
      </c>
      <c r="K87" t="s">
        <v>20</v>
      </c>
    </row>
    <row r="88" spans="2:11" x14ac:dyDescent="0.25">
      <c r="B88">
        <v>84</v>
      </c>
      <c r="C88" s="1">
        <v>44988</v>
      </c>
      <c r="D88" t="s">
        <v>21</v>
      </c>
      <c r="E88" t="s">
        <v>11</v>
      </c>
      <c r="F88">
        <v>20</v>
      </c>
      <c r="G88">
        <v>13</v>
      </c>
      <c r="H88">
        <v>260</v>
      </c>
      <c r="I88" t="s">
        <v>15</v>
      </c>
      <c r="J88" t="s">
        <v>12</v>
      </c>
      <c r="K88" t="s">
        <v>26</v>
      </c>
    </row>
    <row r="89" spans="2:11" x14ac:dyDescent="0.25">
      <c r="B89">
        <v>85</v>
      </c>
      <c r="C89" s="1">
        <v>44792</v>
      </c>
      <c r="D89" t="s">
        <v>10</v>
      </c>
      <c r="E89" t="s">
        <v>11</v>
      </c>
      <c r="F89">
        <v>20</v>
      </c>
      <c r="G89">
        <v>3</v>
      </c>
      <c r="H89">
        <v>60</v>
      </c>
      <c r="I89" t="s">
        <v>19</v>
      </c>
      <c r="J89" t="s">
        <v>22</v>
      </c>
      <c r="K89" t="s">
        <v>13</v>
      </c>
    </row>
    <row r="90" spans="2:11" x14ac:dyDescent="0.25">
      <c r="B90">
        <v>86</v>
      </c>
      <c r="C90" s="1">
        <v>44994</v>
      </c>
      <c r="D90" t="s">
        <v>10</v>
      </c>
      <c r="E90" t="s">
        <v>11</v>
      </c>
      <c r="F90">
        <v>20</v>
      </c>
      <c r="G90">
        <v>15</v>
      </c>
      <c r="H90">
        <v>300</v>
      </c>
      <c r="I90" t="s">
        <v>15</v>
      </c>
      <c r="J90" t="s">
        <v>12</v>
      </c>
      <c r="K90" t="s">
        <v>23</v>
      </c>
    </row>
    <row r="91" spans="2:11" x14ac:dyDescent="0.25">
      <c r="B91">
        <v>87</v>
      </c>
      <c r="C91" s="1">
        <v>44710</v>
      </c>
      <c r="D91" t="s">
        <v>10</v>
      </c>
      <c r="E91" t="s">
        <v>11</v>
      </c>
      <c r="F91">
        <v>20</v>
      </c>
      <c r="G91">
        <v>8</v>
      </c>
      <c r="H91">
        <v>160</v>
      </c>
      <c r="I91" t="s">
        <v>15</v>
      </c>
      <c r="J91" t="s">
        <v>12</v>
      </c>
      <c r="K91" t="s">
        <v>13</v>
      </c>
    </row>
    <row r="92" spans="2:11" x14ac:dyDescent="0.25">
      <c r="B92">
        <v>88</v>
      </c>
      <c r="C92" s="1">
        <v>44749</v>
      </c>
      <c r="D92" t="s">
        <v>27</v>
      </c>
      <c r="E92" t="s">
        <v>18</v>
      </c>
      <c r="F92">
        <v>40</v>
      </c>
      <c r="G92">
        <v>10</v>
      </c>
      <c r="H92">
        <v>400</v>
      </c>
      <c r="I92" t="s">
        <v>15</v>
      </c>
      <c r="J92" t="s">
        <v>12</v>
      </c>
      <c r="K92" t="s">
        <v>20</v>
      </c>
    </row>
    <row r="93" spans="2:11" x14ac:dyDescent="0.25">
      <c r="B93">
        <v>89</v>
      </c>
      <c r="C93" s="1">
        <v>44918</v>
      </c>
      <c r="D93" t="s">
        <v>10</v>
      </c>
      <c r="E93" t="s">
        <v>11</v>
      </c>
      <c r="F93">
        <v>20</v>
      </c>
      <c r="G93">
        <v>14</v>
      </c>
      <c r="H93">
        <v>280</v>
      </c>
      <c r="I93" t="s">
        <v>15</v>
      </c>
      <c r="J93" t="s">
        <v>12</v>
      </c>
      <c r="K93" t="s">
        <v>20</v>
      </c>
    </row>
    <row r="94" spans="2:11" x14ac:dyDescent="0.25">
      <c r="B94">
        <v>90</v>
      </c>
      <c r="C94" s="1">
        <v>44863</v>
      </c>
      <c r="D94" t="s">
        <v>14</v>
      </c>
      <c r="E94" t="s">
        <v>11</v>
      </c>
      <c r="F94">
        <v>20</v>
      </c>
      <c r="G94">
        <v>15</v>
      </c>
      <c r="H94">
        <v>300</v>
      </c>
      <c r="I94" t="s">
        <v>19</v>
      </c>
      <c r="J94" t="s">
        <v>12</v>
      </c>
      <c r="K94" t="s">
        <v>13</v>
      </c>
    </row>
    <row r="95" spans="2:11" x14ac:dyDescent="0.25">
      <c r="B95">
        <v>91</v>
      </c>
      <c r="C95" s="1">
        <v>45007</v>
      </c>
      <c r="D95" t="s">
        <v>27</v>
      </c>
      <c r="E95" t="s">
        <v>18</v>
      </c>
      <c r="F95">
        <v>40</v>
      </c>
      <c r="G95">
        <v>6</v>
      </c>
      <c r="H95">
        <v>240</v>
      </c>
      <c r="J95" t="s">
        <v>22</v>
      </c>
      <c r="K95" t="s">
        <v>20</v>
      </c>
    </row>
    <row r="96" spans="2:11" x14ac:dyDescent="0.25">
      <c r="B96">
        <v>92</v>
      </c>
      <c r="C96" s="1">
        <v>44694</v>
      </c>
      <c r="D96" t="s">
        <v>10</v>
      </c>
      <c r="E96" t="s">
        <v>11</v>
      </c>
      <c r="F96">
        <v>20</v>
      </c>
      <c r="G96">
        <v>15</v>
      </c>
      <c r="H96">
        <v>300</v>
      </c>
      <c r="I96" t="s">
        <v>15</v>
      </c>
      <c r="J96" t="s">
        <v>12</v>
      </c>
      <c r="K96" t="s">
        <v>16</v>
      </c>
    </row>
    <row r="97" spans="2:11" x14ac:dyDescent="0.25">
      <c r="B97">
        <v>93</v>
      </c>
      <c r="C97" s="1">
        <v>44745</v>
      </c>
      <c r="D97" t="s">
        <v>27</v>
      </c>
      <c r="E97" t="s">
        <v>18</v>
      </c>
      <c r="F97">
        <v>40</v>
      </c>
      <c r="G97">
        <v>2</v>
      </c>
      <c r="H97">
        <v>80</v>
      </c>
      <c r="I97" t="s">
        <v>19</v>
      </c>
      <c r="J97" t="s">
        <v>22</v>
      </c>
      <c r="K97" t="s">
        <v>26</v>
      </c>
    </row>
    <row r="98" spans="2:11" x14ac:dyDescent="0.25">
      <c r="B98">
        <v>94</v>
      </c>
      <c r="C98" s="1">
        <v>44818</v>
      </c>
      <c r="D98" t="s">
        <v>10</v>
      </c>
      <c r="E98" t="s">
        <v>11</v>
      </c>
      <c r="F98">
        <v>20</v>
      </c>
      <c r="G98">
        <v>15</v>
      </c>
      <c r="H98">
        <v>300</v>
      </c>
      <c r="J98" t="s">
        <v>22</v>
      </c>
      <c r="K98" t="s">
        <v>13</v>
      </c>
    </row>
    <row r="99" spans="2:11" x14ac:dyDescent="0.25">
      <c r="B99">
        <v>95</v>
      </c>
      <c r="C99" s="1">
        <v>44693</v>
      </c>
      <c r="D99" t="s">
        <v>17</v>
      </c>
      <c r="E99" t="s">
        <v>18</v>
      </c>
      <c r="F99">
        <v>25</v>
      </c>
      <c r="G99">
        <v>8</v>
      </c>
      <c r="H99">
        <v>200</v>
      </c>
      <c r="I99" t="s">
        <v>19</v>
      </c>
      <c r="J99" t="s">
        <v>12</v>
      </c>
      <c r="K99" t="s">
        <v>13</v>
      </c>
    </row>
    <row r="100" spans="2:11" x14ac:dyDescent="0.25">
      <c r="B100">
        <v>96</v>
      </c>
      <c r="C100" s="1">
        <v>44795</v>
      </c>
      <c r="D100" t="s">
        <v>25</v>
      </c>
      <c r="E100" t="s">
        <v>11</v>
      </c>
      <c r="F100">
        <v>60</v>
      </c>
      <c r="G100">
        <v>15</v>
      </c>
      <c r="H100">
        <v>900</v>
      </c>
      <c r="J100" t="s">
        <v>12</v>
      </c>
      <c r="K100" t="s">
        <v>23</v>
      </c>
    </row>
    <row r="101" spans="2:11" x14ac:dyDescent="0.25">
      <c r="B101">
        <v>97</v>
      </c>
      <c r="C101" s="1">
        <v>45014</v>
      </c>
      <c r="D101" t="s">
        <v>27</v>
      </c>
      <c r="E101" t="s">
        <v>18</v>
      </c>
      <c r="F101">
        <v>40</v>
      </c>
      <c r="G101">
        <v>13</v>
      </c>
      <c r="H101">
        <v>520</v>
      </c>
      <c r="I101" t="s">
        <v>19</v>
      </c>
      <c r="J101" t="s">
        <v>12</v>
      </c>
      <c r="K101" t="s">
        <v>20</v>
      </c>
    </row>
    <row r="102" spans="2:11" x14ac:dyDescent="0.25">
      <c r="B102">
        <v>98</v>
      </c>
      <c r="C102" s="1">
        <v>44919</v>
      </c>
      <c r="D102" t="s">
        <v>14</v>
      </c>
      <c r="E102" t="s">
        <v>11</v>
      </c>
      <c r="F102">
        <v>20</v>
      </c>
      <c r="G102">
        <v>1</v>
      </c>
      <c r="H102">
        <v>20</v>
      </c>
      <c r="I102" t="s">
        <v>19</v>
      </c>
      <c r="J102" t="s">
        <v>12</v>
      </c>
      <c r="K102" t="s">
        <v>23</v>
      </c>
    </row>
    <row r="103" spans="2:11" x14ac:dyDescent="0.25">
      <c r="B103">
        <v>99</v>
      </c>
      <c r="C103" s="1">
        <v>44815</v>
      </c>
      <c r="D103" t="s">
        <v>17</v>
      </c>
      <c r="E103" t="s">
        <v>18</v>
      </c>
      <c r="F103">
        <v>25</v>
      </c>
      <c r="G103">
        <v>3</v>
      </c>
      <c r="H103">
        <v>75</v>
      </c>
      <c r="I103" t="s">
        <v>15</v>
      </c>
      <c r="J103" t="s">
        <v>12</v>
      </c>
      <c r="K103" t="s">
        <v>20</v>
      </c>
    </row>
    <row r="104" spans="2:11" x14ac:dyDescent="0.25">
      <c r="B104">
        <v>100</v>
      </c>
      <c r="C104" s="1">
        <v>44689</v>
      </c>
      <c r="D104" t="s">
        <v>21</v>
      </c>
      <c r="E104" t="s">
        <v>11</v>
      </c>
      <c r="F104">
        <v>20</v>
      </c>
      <c r="G104">
        <v>11</v>
      </c>
      <c r="H104">
        <v>220</v>
      </c>
      <c r="J104" t="s">
        <v>12</v>
      </c>
      <c r="K104" t="s">
        <v>23</v>
      </c>
    </row>
    <row r="105" spans="2:11" x14ac:dyDescent="0.25">
      <c r="B105">
        <v>101</v>
      </c>
      <c r="C105" s="1">
        <v>45011</v>
      </c>
      <c r="D105" t="s">
        <v>14</v>
      </c>
      <c r="E105" t="s">
        <v>11</v>
      </c>
      <c r="F105">
        <v>20</v>
      </c>
      <c r="G105">
        <v>3</v>
      </c>
      <c r="H105">
        <v>60</v>
      </c>
      <c r="I105" t="s">
        <v>19</v>
      </c>
      <c r="J105" t="s">
        <v>22</v>
      </c>
      <c r="K105" t="s">
        <v>23</v>
      </c>
    </row>
    <row r="106" spans="2:11" x14ac:dyDescent="0.25">
      <c r="B106">
        <v>102</v>
      </c>
      <c r="C106" s="1">
        <v>44998</v>
      </c>
      <c r="D106" t="s">
        <v>27</v>
      </c>
      <c r="E106" t="s">
        <v>18</v>
      </c>
      <c r="F106">
        <v>40</v>
      </c>
      <c r="G106">
        <v>14</v>
      </c>
      <c r="H106">
        <v>560</v>
      </c>
      <c r="I106" t="s">
        <v>15</v>
      </c>
      <c r="J106" t="s">
        <v>12</v>
      </c>
      <c r="K106" t="s">
        <v>23</v>
      </c>
    </row>
    <row r="107" spans="2:11" x14ac:dyDescent="0.25">
      <c r="B107">
        <v>103</v>
      </c>
      <c r="C107" s="1">
        <v>44999</v>
      </c>
      <c r="D107" t="s">
        <v>27</v>
      </c>
      <c r="E107" t="s">
        <v>18</v>
      </c>
      <c r="F107">
        <v>40</v>
      </c>
      <c r="G107">
        <v>8</v>
      </c>
      <c r="H107">
        <v>320</v>
      </c>
      <c r="I107" t="s">
        <v>19</v>
      </c>
      <c r="J107" t="s">
        <v>22</v>
      </c>
      <c r="K107" t="s">
        <v>26</v>
      </c>
    </row>
    <row r="108" spans="2:11" x14ac:dyDescent="0.25">
      <c r="B108">
        <v>104</v>
      </c>
      <c r="C108" s="1">
        <v>44861</v>
      </c>
      <c r="D108" t="s">
        <v>27</v>
      </c>
      <c r="E108" t="s">
        <v>18</v>
      </c>
      <c r="F108">
        <v>40</v>
      </c>
      <c r="G108">
        <v>13</v>
      </c>
      <c r="H108">
        <v>520</v>
      </c>
      <c r="I108" t="s">
        <v>19</v>
      </c>
      <c r="J108" t="s">
        <v>12</v>
      </c>
      <c r="K108" t="s">
        <v>23</v>
      </c>
    </row>
    <row r="109" spans="2:11" x14ac:dyDescent="0.25">
      <c r="B109">
        <v>105</v>
      </c>
      <c r="C109" s="1">
        <v>44951</v>
      </c>
      <c r="D109" t="s">
        <v>21</v>
      </c>
      <c r="E109" t="s">
        <v>11</v>
      </c>
      <c r="F109">
        <v>20</v>
      </c>
      <c r="G109">
        <v>8</v>
      </c>
      <c r="H109">
        <v>160</v>
      </c>
      <c r="I109" t="s">
        <v>15</v>
      </c>
      <c r="J109" t="s">
        <v>22</v>
      </c>
      <c r="K109" t="s">
        <v>20</v>
      </c>
    </row>
    <row r="110" spans="2:11" x14ac:dyDescent="0.25">
      <c r="B110">
        <v>106</v>
      </c>
      <c r="C110" s="1">
        <v>44982</v>
      </c>
      <c r="D110" t="s">
        <v>24</v>
      </c>
      <c r="E110" t="s">
        <v>11</v>
      </c>
      <c r="F110">
        <v>50</v>
      </c>
      <c r="G110">
        <v>9</v>
      </c>
      <c r="H110">
        <v>450</v>
      </c>
      <c r="I110" t="s">
        <v>15</v>
      </c>
      <c r="J110" t="s">
        <v>22</v>
      </c>
      <c r="K110" t="s">
        <v>20</v>
      </c>
    </row>
    <row r="111" spans="2:11" x14ac:dyDescent="0.25">
      <c r="B111">
        <v>107</v>
      </c>
      <c r="C111" s="1">
        <v>44964</v>
      </c>
      <c r="D111" t="s">
        <v>25</v>
      </c>
      <c r="E111" t="s">
        <v>11</v>
      </c>
      <c r="F111">
        <v>60</v>
      </c>
      <c r="G111">
        <v>4</v>
      </c>
      <c r="H111">
        <v>240</v>
      </c>
      <c r="I111" t="s">
        <v>19</v>
      </c>
      <c r="J111" t="s">
        <v>12</v>
      </c>
      <c r="K111" t="s">
        <v>16</v>
      </c>
    </row>
    <row r="112" spans="2:11" x14ac:dyDescent="0.25">
      <c r="B112">
        <v>108</v>
      </c>
      <c r="C112" s="1">
        <v>44779</v>
      </c>
      <c r="D112" t="s">
        <v>21</v>
      </c>
      <c r="E112" t="s">
        <v>11</v>
      </c>
      <c r="F112">
        <v>20</v>
      </c>
      <c r="G112">
        <v>5</v>
      </c>
      <c r="H112">
        <v>100</v>
      </c>
      <c r="I112" t="s">
        <v>19</v>
      </c>
      <c r="J112" t="s">
        <v>12</v>
      </c>
      <c r="K112" t="s">
        <v>16</v>
      </c>
    </row>
    <row r="113" spans="2:11" x14ac:dyDescent="0.25">
      <c r="B113">
        <v>109</v>
      </c>
      <c r="C113" s="1">
        <v>44781</v>
      </c>
      <c r="D113" t="s">
        <v>27</v>
      </c>
      <c r="E113" t="s">
        <v>18</v>
      </c>
      <c r="F113">
        <v>40</v>
      </c>
      <c r="G113">
        <v>12</v>
      </c>
      <c r="H113">
        <v>480</v>
      </c>
      <c r="J113" t="s">
        <v>12</v>
      </c>
      <c r="K113" t="s">
        <v>16</v>
      </c>
    </row>
    <row r="114" spans="2:11" x14ac:dyDescent="0.25">
      <c r="B114">
        <v>110</v>
      </c>
      <c r="C114" s="1">
        <v>44881</v>
      </c>
      <c r="D114" t="s">
        <v>21</v>
      </c>
      <c r="E114" t="s">
        <v>11</v>
      </c>
      <c r="F114">
        <v>20</v>
      </c>
      <c r="G114">
        <v>2</v>
      </c>
      <c r="H114">
        <v>40</v>
      </c>
      <c r="I114" t="s">
        <v>19</v>
      </c>
      <c r="J114" t="s">
        <v>22</v>
      </c>
      <c r="K114" t="s">
        <v>23</v>
      </c>
    </row>
    <row r="115" spans="2:11" x14ac:dyDescent="0.25">
      <c r="B115">
        <v>111</v>
      </c>
      <c r="C115" s="1">
        <v>44808</v>
      </c>
      <c r="D115" t="s">
        <v>25</v>
      </c>
      <c r="E115" t="s">
        <v>11</v>
      </c>
      <c r="F115">
        <v>60</v>
      </c>
      <c r="G115">
        <v>8</v>
      </c>
      <c r="H115">
        <v>480</v>
      </c>
      <c r="I115" t="s">
        <v>15</v>
      </c>
      <c r="J115" t="s">
        <v>22</v>
      </c>
      <c r="K115" t="s">
        <v>26</v>
      </c>
    </row>
    <row r="116" spans="2:11" x14ac:dyDescent="0.25">
      <c r="B116">
        <v>112</v>
      </c>
      <c r="C116" s="1">
        <v>44981</v>
      </c>
      <c r="D116" t="s">
        <v>25</v>
      </c>
      <c r="E116" t="s">
        <v>11</v>
      </c>
      <c r="F116">
        <v>60</v>
      </c>
      <c r="G116">
        <v>7</v>
      </c>
      <c r="H116">
        <v>420</v>
      </c>
      <c r="I116" t="s">
        <v>15</v>
      </c>
      <c r="J116" t="s">
        <v>12</v>
      </c>
      <c r="K116" t="s">
        <v>23</v>
      </c>
    </row>
    <row r="117" spans="2:11" x14ac:dyDescent="0.25">
      <c r="B117">
        <v>113</v>
      </c>
      <c r="C117" s="1">
        <v>44907</v>
      </c>
      <c r="D117" t="s">
        <v>10</v>
      </c>
      <c r="E117" t="s">
        <v>11</v>
      </c>
      <c r="F117">
        <v>20</v>
      </c>
      <c r="G117">
        <v>8</v>
      </c>
      <c r="H117">
        <v>160</v>
      </c>
      <c r="I117" t="s">
        <v>15</v>
      </c>
      <c r="J117" t="s">
        <v>12</v>
      </c>
      <c r="K117" t="s">
        <v>16</v>
      </c>
    </row>
    <row r="118" spans="2:11" x14ac:dyDescent="0.25">
      <c r="B118">
        <v>114</v>
      </c>
      <c r="C118" s="1">
        <v>44787</v>
      </c>
      <c r="D118" t="s">
        <v>10</v>
      </c>
      <c r="E118" t="s">
        <v>11</v>
      </c>
      <c r="F118">
        <v>20</v>
      </c>
      <c r="G118">
        <v>10</v>
      </c>
      <c r="H118">
        <v>200</v>
      </c>
      <c r="I118" t="s">
        <v>19</v>
      </c>
      <c r="J118" t="s">
        <v>12</v>
      </c>
      <c r="K118" t="s">
        <v>16</v>
      </c>
    </row>
    <row r="119" spans="2:11" x14ac:dyDescent="0.25">
      <c r="B119">
        <v>115</v>
      </c>
      <c r="C119" s="1">
        <v>44938</v>
      </c>
      <c r="D119" t="s">
        <v>10</v>
      </c>
      <c r="E119" t="s">
        <v>11</v>
      </c>
      <c r="F119">
        <v>20</v>
      </c>
      <c r="G119">
        <v>13</v>
      </c>
      <c r="H119">
        <v>260</v>
      </c>
      <c r="J119" t="s">
        <v>12</v>
      </c>
      <c r="K119" t="s">
        <v>20</v>
      </c>
    </row>
    <row r="120" spans="2:11" x14ac:dyDescent="0.25">
      <c r="B120">
        <v>116</v>
      </c>
      <c r="C120" s="1">
        <v>44799</v>
      </c>
      <c r="D120" t="s">
        <v>17</v>
      </c>
      <c r="E120" t="s">
        <v>18</v>
      </c>
      <c r="F120">
        <v>25</v>
      </c>
      <c r="G120">
        <v>13</v>
      </c>
      <c r="H120">
        <v>325</v>
      </c>
      <c r="I120" t="s">
        <v>15</v>
      </c>
      <c r="J120" t="s">
        <v>12</v>
      </c>
      <c r="K120" t="s">
        <v>20</v>
      </c>
    </row>
    <row r="121" spans="2:11" x14ac:dyDescent="0.25">
      <c r="B121">
        <v>117</v>
      </c>
      <c r="C121" s="1">
        <v>44994</v>
      </c>
      <c r="D121" t="s">
        <v>24</v>
      </c>
      <c r="E121" t="s">
        <v>11</v>
      </c>
      <c r="F121">
        <v>50</v>
      </c>
      <c r="G121">
        <v>7</v>
      </c>
      <c r="H121">
        <v>350</v>
      </c>
      <c r="I121" t="s">
        <v>19</v>
      </c>
      <c r="J121" t="s">
        <v>22</v>
      </c>
      <c r="K121" t="s">
        <v>20</v>
      </c>
    </row>
    <row r="122" spans="2:11" x14ac:dyDescent="0.25">
      <c r="B122">
        <v>118</v>
      </c>
      <c r="C122" s="1">
        <v>44748</v>
      </c>
      <c r="D122" t="s">
        <v>25</v>
      </c>
      <c r="E122" t="s">
        <v>11</v>
      </c>
      <c r="F122">
        <v>60</v>
      </c>
      <c r="G122">
        <v>1</v>
      </c>
      <c r="H122">
        <v>60</v>
      </c>
      <c r="I122" t="s">
        <v>19</v>
      </c>
      <c r="J122" t="s">
        <v>12</v>
      </c>
      <c r="K122" t="s">
        <v>26</v>
      </c>
    </row>
    <row r="123" spans="2:11" x14ac:dyDescent="0.25">
      <c r="B123">
        <v>119</v>
      </c>
      <c r="C123" s="1">
        <v>44693</v>
      </c>
      <c r="D123" t="s">
        <v>21</v>
      </c>
      <c r="E123" t="s">
        <v>11</v>
      </c>
      <c r="F123">
        <v>20</v>
      </c>
      <c r="G123">
        <v>10</v>
      </c>
      <c r="H123">
        <v>200</v>
      </c>
      <c r="I123" t="s">
        <v>15</v>
      </c>
      <c r="J123" t="s">
        <v>12</v>
      </c>
      <c r="K123" t="s">
        <v>20</v>
      </c>
    </row>
    <row r="124" spans="2:11" x14ac:dyDescent="0.25">
      <c r="B124">
        <v>120</v>
      </c>
      <c r="C124" s="1">
        <v>44752</v>
      </c>
      <c r="D124" t="s">
        <v>24</v>
      </c>
      <c r="E124" t="s">
        <v>11</v>
      </c>
      <c r="F124">
        <v>50</v>
      </c>
      <c r="G124">
        <v>2</v>
      </c>
      <c r="H124">
        <v>100</v>
      </c>
      <c r="I124" t="s">
        <v>15</v>
      </c>
      <c r="J124" t="s">
        <v>22</v>
      </c>
      <c r="K124" t="s">
        <v>20</v>
      </c>
    </row>
    <row r="125" spans="2:11" x14ac:dyDescent="0.25">
      <c r="B125">
        <v>121</v>
      </c>
      <c r="C125" s="1">
        <v>44799</v>
      </c>
      <c r="D125" t="s">
        <v>27</v>
      </c>
      <c r="E125" t="s">
        <v>18</v>
      </c>
      <c r="F125">
        <v>40</v>
      </c>
      <c r="G125">
        <v>8</v>
      </c>
      <c r="H125">
        <v>320</v>
      </c>
      <c r="I125" t="s">
        <v>15</v>
      </c>
      <c r="J125" t="s">
        <v>12</v>
      </c>
      <c r="K125" t="s">
        <v>16</v>
      </c>
    </row>
    <row r="126" spans="2:11" x14ac:dyDescent="0.25">
      <c r="B126">
        <v>122</v>
      </c>
      <c r="C126" s="1">
        <v>44675</v>
      </c>
      <c r="D126" t="s">
        <v>21</v>
      </c>
      <c r="E126" t="s">
        <v>11</v>
      </c>
      <c r="F126">
        <v>20</v>
      </c>
      <c r="G126">
        <v>3</v>
      </c>
      <c r="H126">
        <v>60</v>
      </c>
      <c r="J126" t="s">
        <v>22</v>
      </c>
      <c r="K126" t="s">
        <v>13</v>
      </c>
    </row>
    <row r="127" spans="2:11" x14ac:dyDescent="0.25">
      <c r="B127">
        <v>123</v>
      </c>
      <c r="C127" s="1">
        <v>44721</v>
      </c>
      <c r="D127" t="s">
        <v>27</v>
      </c>
      <c r="E127" t="s">
        <v>18</v>
      </c>
      <c r="F127">
        <v>40</v>
      </c>
      <c r="G127">
        <v>6</v>
      </c>
      <c r="H127">
        <v>240</v>
      </c>
      <c r="I127" t="s">
        <v>19</v>
      </c>
      <c r="J127" t="s">
        <v>12</v>
      </c>
      <c r="K127" t="s">
        <v>20</v>
      </c>
    </row>
    <row r="128" spans="2:11" x14ac:dyDescent="0.25">
      <c r="B128">
        <v>124</v>
      </c>
      <c r="C128" s="1">
        <v>44848</v>
      </c>
      <c r="D128" t="s">
        <v>17</v>
      </c>
      <c r="E128" t="s">
        <v>18</v>
      </c>
      <c r="F128">
        <v>25</v>
      </c>
      <c r="G128">
        <v>13</v>
      </c>
      <c r="H128">
        <v>325</v>
      </c>
      <c r="J128" t="s">
        <v>22</v>
      </c>
      <c r="K128" t="s">
        <v>20</v>
      </c>
    </row>
    <row r="129" spans="2:11" x14ac:dyDescent="0.25">
      <c r="B129">
        <v>125</v>
      </c>
      <c r="C129" s="1">
        <v>44661</v>
      </c>
      <c r="D129" t="s">
        <v>14</v>
      </c>
      <c r="E129" t="s">
        <v>11</v>
      </c>
      <c r="F129">
        <v>20</v>
      </c>
      <c r="G129">
        <v>7</v>
      </c>
      <c r="H129">
        <v>140</v>
      </c>
      <c r="I129" t="s">
        <v>15</v>
      </c>
      <c r="J129" t="s">
        <v>22</v>
      </c>
      <c r="K129" t="s">
        <v>26</v>
      </c>
    </row>
    <row r="130" spans="2:11" x14ac:dyDescent="0.25">
      <c r="B130">
        <v>126</v>
      </c>
      <c r="C130" s="1">
        <v>44659</v>
      </c>
      <c r="D130" t="s">
        <v>21</v>
      </c>
      <c r="E130" t="s">
        <v>11</v>
      </c>
      <c r="F130">
        <v>20</v>
      </c>
      <c r="G130">
        <v>11</v>
      </c>
      <c r="H130">
        <v>220</v>
      </c>
      <c r="I130" t="s">
        <v>19</v>
      </c>
      <c r="J130" t="s">
        <v>22</v>
      </c>
      <c r="K130" t="s">
        <v>13</v>
      </c>
    </row>
    <row r="131" spans="2:11" x14ac:dyDescent="0.25">
      <c r="B131">
        <v>127</v>
      </c>
      <c r="C131" s="1">
        <v>44898</v>
      </c>
      <c r="D131" t="s">
        <v>10</v>
      </c>
      <c r="E131" t="s">
        <v>11</v>
      </c>
      <c r="F131">
        <v>20</v>
      </c>
      <c r="G131">
        <v>1</v>
      </c>
      <c r="H131">
        <v>20</v>
      </c>
      <c r="J131" t="s">
        <v>22</v>
      </c>
      <c r="K131" t="s">
        <v>23</v>
      </c>
    </row>
    <row r="132" spans="2:11" x14ac:dyDescent="0.25">
      <c r="B132">
        <v>128</v>
      </c>
      <c r="C132" s="1">
        <v>44780</v>
      </c>
      <c r="D132" t="s">
        <v>14</v>
      </c>
      <c r="E132" t="s">
        <v>11</v>
      </c>
      <c r="F132">
        <v>20</v>
      </c>
      <c r="G132">
        <v>11</v>
      </c>
      <c r="H132">
        <v>220</v>
      </c>
      <c r="I132" t="s">
        <v>19</v>
      </c>
      <c r="J132" t="s">
        <v>12</v>
      </c>
      <c r="K132" t="s">
        <v>26</v>
      </c>
    </row>
    <row r="133" spans="2:11" x14ac:dyDescent="0.25">
      <c r="B133">
        <v>129</v>
      </c>
      <c r="C133" s="1">
        <v>44853</v>
      </c>
      <c r="D133" t="s">
        <v>21</v>
      </c>
      <c r="E133" t="s">
        <v>11</v>
      </c>
      <c r="F133">
        <v>20</v>
      </c>
      <c r="G133">
        <v>13</v>
      </c>
      <c r="H133">
        <v>260</v>
      </c>
      <c r="I133" t="s">
        <v>15</v>
      </c>
      <c r="J133" t="s">
        <v>22</v>
      </c>
      <c r="K133" t="s">
        <v>23</v>
      </c>
    </row>
    <row r="134" spans="2:11" x14ac:dyDescent="0.25">
      <c r="B134">
        <v>130</v>
      </c>
      <c r="C134" s="1">
        <v>44923</v>
      </c>
      <c r="D134" t="s">
        <v>17</v>
      </c>
      <c r="E134" t="s">
        <v>18</v>
      </c>
      <c r="F134">
        <v>25</v>
      </c>
      <c r="G134">
        <v>7</v>
      </c>
      <c r="H134">
        <v>175</v>
      </c>
      <c r="I134" t="s">
        <v>15</v>
      </c>
      <c r="J134" t="s">
        <v>12</v>
      </c>
      <c r="K134" t="s">
        <v>13</v>
      </c>
    </row>
    <row r="135" spans="2:11" x14ac:dyDescent="0.25">
      <c r="B135">
        <v>131</v>
      </c>
      <c r="C135" s="1">
        <v>44945</v>
      </c>
      <c r="D135" t="s">
        <v>25</v>
      </c>
      <c r="E135" t="s">
        <v>11</v>
      </c>
      <c r="F135">
        <v>60</v>
      </c>
      <c r="G135">
        <v>8</v>
      </c>
      <c r="H135">
        <v>480</v>
      </c>
      <c r="I135" t="s">
        <v>15</v>
      </c>
      <c r="J135" t="s">
        <v>12</v>
      </c>
      <c r="K135" t="s">
        <v>13</v>
      </c>
    </row>
    <row r="136" spans="2:11" x14ac:dyDescent="0.25">
      <c r="B136">
        <v>132</v>
      </c>
      <c r="C136" s="1">
        <v>44900</v>
      </c>
      <c r="D136" t="s">
        <v>14</v>
      </c>
      <c r="E136" t="s">
        <v>11</v>
      </c>
      <c r="F136">
        <v>20</v>
      </c>
      <c r="G136">
        <v>4</v>
      </c>
      <c r="H136">
        <v>80</v>
      </c>
      <c r="I136" t="s">
        <v>19</v>
      </c>
      <c r="J136" t="s">
        <v>22</v>
      </c>
      <c r="K136" t="s">
        <v>13</v>
      </c>
    </row>
    <row r="137" spans="2:11" x14ac:dyDescent="0.25">
      <c r="B137">
        <v>133</v>
      </c>
      <c r="C137" s="1">
        <v>44915</v>
      </c>
      <c r="D137" t="s">
        <v>10</v>
      </c>
      <c r="E137" t="s">
        <v>11</v>
      </c>
      <c r="F137">
        <v>20</v>
      </c>
      <c r="G137">
        <v>5</v>
      </c>
      <c r="H137">
        <v>100</v>
      </c>
      <c r="I137" t="s">
        <v>19</v>
      </c>
      <c r="J137" t="s">
        <v>12</v>
      </c>
      <c r="K137" t="s">
        <v>26</v>
      </c>
    </row>
    <row r="138" spans="2:11" x14ac:dyDescent="0.25">
      <c r="B138">
        <v>134</v>
      </c>
      <c r="C138" s="1">
        <v>44759</v>
      </c>
      <c r="D138" t="s">
        <v>10</v>
      </c>
      <c r="E138" t="s">
        <v>11</v>
      </c>
      <c r="F138">
        <v>20</v>
      </c>
      <c r="G138">
        <v>12</v>
      </c>
      <c r="H138">
        <v>240</v>
      </c>
      <c r="I138" t="s">
        <v>19</v>
      </c>
      <c r="J138" t="s">
        <v>22</v>
      </c>
      <c r="K138" t="s">
        <v>13</v>
      </c>
    </row>
    <row r="139" spans="2:11" x14ac:dyDescent="0.25">
      <c r="B139">
        <v>135</v>
      </c>
      <c r="C139" s="1">
        <v>44940</v>
      </c>
      <c r="D139" t="s">
        <v>10</v>
      </c>
      <c r="E139" t="s">
        <v>11</v>
      </c>
      <c r="F139">
        <v>20</v>
      </c>
      <c r="G139">
        <v>8</v>
      </c>
      <c r="H139">
        <v>160</v>
      </c>
      <c r="I139" t="s">
        <v>19</v>
      </c>
      <c r="J139" t="s">
        <v>12</v>
      </c>
      <c r="K139" t="s">
        <v>26</v>
      </c>
    </row>
    <row r="140" spans="2:11" x14ac:dyDescent="0.25">
      <c r="B140">
        <v>136</v>
      </c>
      <c r="C140" s="1">
        <v>44797</v>
      </c>
      <c r="D140" t="s">
        <v>10</v>
      </c>
      <c r="E140" t="s">
        <v>11</v>
      </c>
      <c r="F140">
        <v>20</v>
      </c>
      <c r="G140">
        <v>15</v>
      </c>
      <c r="H140">
        <v>300</v>
      </c>
      <c r="I140" t="s">
        <v>19</v>
      </c>
      <c r="J140" t="s">
        <v>12</v>
      </c>
      <c r="K140" t="s">
        <v>23</v>
      </c>
    </row>
    <row r="141" spans="2:11" x14ac:dyDescent="0.25">
      <c r="B141">
        <v>137</v>
      </c>
      <c r="C141" s="1">
        <v>45004</v>
      </c>
      <c r="D141" t="s">
        <v>17</v>
      </c>
      <c r="E141" t="s">
        <v>18</v>
      </c>
      <c r="F141">
        <v>25</v>
      </c>
      <c r="G141">
        <v>6</v>
      </c>
      <c r="H141">
        <v>150</v>
      </c>
      <c r="J141" t="s">
        <v>12</v>
      </c>
      <c r="K141" t="s">
        <v>16</v>
      </c>
    </row>
    <row r="142" spans="2:11" x14ac:dyDescent="0.25">
      <c r="B142">
        <v>138</v>
      </c>
      <c r="C142" s="1">
        <v>44805</v>
      </c>
      <c r="D142" t="s">
        <v>25</v>
      </c>
      <c r="E142" t="s">
        <v>11</v>
      </c>
      <c r="F142">
        <v>60</v>
      </c>
      <c r="G142">
        <v>15</v>
      </c>
      <c r="H142">
        <v>900</v>
      </c>
      <c r="I142" t="s">
        <v>19</v>
      </c>
      <c r="J142" t="s">
        <v>12</v>
      </c>
      <c r="K142" t="s">
        <v>13</v>
      </c>
    </row>
    <row r="143" spans="2:11" x14ac:dyDescent="0.25">
      <c r="B143">
        <v>139</v>
      </c>
      <c r="C143" s="1">
        <v>44983</v>
      </c>
      <c r="D143" t="s">
        <v>24</v>
      </c>
      <c r="E143" t="s">
        <v>11</v>
      </c>
      <c r="F143">
        <v>50</v>
      </c>
      <c r="G143">
        <v>11</v>
      </c>
      <c r="H143">
        <v>550</v>
      </c>
      <c r="I143" t="s">
        <v>19</v>
      </c>
      <c r="J143" t="s">
        <v>22</v>
      </c>
      <c r="K143" t="s">
        <v>13</v>
      </c>
    </row>
    <row r="144" spans="2:11" x14ac:dyDescent="0.25">
      <c r="B144">
        <v>140</v>
      </c>
      <c r="C144" s="1">
        <v>44724</v>
      </c>
      <c r="D144" t="s">
        <v>24</v>
      </c>
      <c r="E144" t="s">
        <v>11</v>
      </c>
      <c r="F144">
        <v>50</v>
      </c>
      <c r="G144">
        <v>13</v>
      </c>
      <c r="H144">
        <v>650</v>
      </c>
      <c r="I144" t="s">
        <v>15</v>
      </c>
      <c r="J144" t="s">
        <v>12</v>
      </c>
      <c r="K144" t="s">
        <v>13</v>
      </c>
    </row>
    <row r="145" spans="2:11" x14ac:dyDescent="0.25">
      <c r="B145">
        <v>141</v>
      </c>
      <c r="C145" s="1">
        <v>44727</v>
      </c>
      <c r="D145" t="s">
        <v>10</v>
      </c>
      <c r="E145" t="s">
        <v>11</v>
      </c>
      <c r="F145">
        <v>20</v>
      </c>
      <c r="G145">
        <v>4</v>
      </c>
      <c r="H145">
        <v>80</v>
      </c>
      <c r="J145" t="s">
        <v>12</v>
      </c>
      <c r="K145" t="s">
        <v>20</v>
      </c>
    </row>
    <row r="146" spans="2:11" x14ac:dyDescent="0.25">
      <c r="B146">
        <v>142</v>
      </c>
      <c r="C146" s="1">
        <v>44925</v>
      </c>
      <c r="D146" t="s">
        <v>17</v>
      </c>
      <c r="E146" t="s">
        <v>18</v>
      </c>
      <c r="F146">
        <v>25</v>
      </c>
      <c r="G146">
        <v>12</v>
      </c>
      <c r="H146">
        <v>300</v>
      </c>
      <c r="I146" t="s">
        <v>15</v>
      </c>
      <c r="J146" t="s">
        <v>22</v>
      </c>
      <c r="K146" t="s">
        <v>23</v>
      </c>
    </row>
    <row r="147" spans="2:11" x14ac:dyDescent="0.25">
      <c r="B147">
        <v>143</v>
      </c>
      <c r="C147" s="1">
        <v>44822</v>
      </c>
      <c r="D147" t="s">
        <v>24</v>
      </c>
      <c r="E147" t="s">
        <v>11</v>
      </c>
      <c r="F147">
        <v>50</v>
      </c>
      <c r="G147">
        <v>8</v>
      </c>
      <c r="H147">
        <v>400</v>
      </c>
      <c r="J147" t="s">
        <v>22</v>
      </c>
      <c r="K147" t="s">
        <v>16</v>
      </c>
    </row>
    <row r="148" spans="2:11" x14ac:dyDescent="0.25">
      <c r="B148">
        <v>144</v>
      </c>
      <c r="C148" s="1">
        <v>44882</v>
      </c>
      <c r="D148" t="s">
        <v>21</v>
      </c>
      <c r="E148" t="s">
        <v>11</v>
      </c>
      <c r="F148">
        <v>20</v>
      </c>
      <c r="G148">
        <v>10</v>
      </c>
      <c r="H148">
        <v>200</v>
      </c>
      <c r="I148" t="s">
        <v>15</v>
      </c>
      <c r="J148" t="s">
        <v>22</v>
      </c>
      <c r="K148" t="s">
        <v>20</v>
      </c>
    </row>
    <row r="149" spans="2:11" x14ac:dyDescent="0.25">
      <c r="B149">
        <v>145</v>
      </c>
      <c r="C149" s="1">
        <v>44843</v>
      </c>
      <c r="D149" t="s">
        <v>25</v>
      </c>
      <c r="E149" t="s">
        <v>11</v>
      </c>
      <c r="F149">
        <v>60</v>
      </c>
      <c r="G149">
        <v>14</v>
      </c>
      <c r="H149">
        <v>840</v>
      </c>
      <c r="I149" t="s">
        <v>19</v>
      </c>
      <c r="J149" t="s">
        <v>12</v>
      </c>
      <c r="K149" t="s">
        <v>23</v>
      </c>
    </row>
    <row r="150" spans="2:11" x14ac:dyDescent="0.25">
      <c r="B150">
        <v>146</v>
      </c>
      <c r="C150" s="1">
        <v>44862</v>
      </c>
      <c r="D150" t="s">
        <v>24</v>
      </c>
      <c r="E150" t="s">
        <v>11</v>
      </c>
      <c r="F150">
        <v>50</v>
      </c>
      <c r="G150">
        <v>4</v>
      </c>
      <c r="H150">
        <v>200</v>
      </c>
      <c r="J150" t="s">
        <v>22</v>
      </c>
      <c r="K150" t="s">
        <v>16</v>
      </c>
    </row>
    <row r="151" spans="2:11" x14ac:dyDescent="0.25">
      <c r="B151">
        <v>147</v>
      </c>
      <c r="C151" s="1">
        <v>44698</v>
      </c>
      <c r="D151" t="s">
        <v>21</v>
      </c>
      <c r="E151" t="s">
        <v>11</v>
      </c>
      <c r="F151">
        <v>20</v>
      </c>
      <c r="G151">
        <v>7</v>
      </c>
      <c r="H151">
        <v>140</v>
      </c>
      <c r="I151" t="s">
        <v>19</v>
      </c>
      <c r="J151" t="s">
        <v>12</v>
      </c>
      <c r="K151" t="s">
        <v>20</v>
      </c>
    </row>
    <row r="152" spans="2:11" x14ac:dyDescent="0.25">
      <c r="B152">
        <v>148</v>
      </c>
      <c r="C152" s="1">
        <v>45004</v>
      </c>
      <c r="D152" t="s">
        <v>25</v>
      </c>
      <c r="E152" t="s">
        <v>11</v>
      </c>
      <c r="F152">
        <v>60</v>
      </c>
      <c r="G152">
        <v>13</v>
      </c>
      <c r="H152">
        <v>780</v>
      </c>
      <c r="I152" t="s">
        <v>19</v>
      </c>
      <c r="J152" t="s">
        <v>12</v>
      </c>
      <c r="K152" t="s">
        <v>20</v>
      </c>
    </row>
    <row r="153" spans="2:11" x14ac:dyDescent="0.25">
      <c r="B153">
        <v>149</v>
      </c>
      <c r="C153" s="1">
        <v>44782</v>
      </c>
      <c r="D153" t="s">
        <v>25</v>
      </c>
      <c r="E153" t="s">
        <v>11</v>
      </c>
      <c r="F153">
        <v>60</v>
      </c>
      <c r="G153">
        <v>7</v>
      </c>
      <c r="H153">
        <v>420</v>
      </c>
      <c r="I153" t="s">
        <v>19</v>
      </c>
      <c r="J153" t="s">
        <v>12</v>
      </c>
      <c r="K153" t="s">
        <v>23</v>
      </c>
    </row>
    <row r="154" spans="2:11" x14ac:dyDescent="0.25">
      <c r="B154">
        <v>150</v>
      </c>
      <c r="C154" s="1">
        <v>44956</v>
      </c>
      <c r="D154" t="s">
        <v>27</v>
      </c>
      <c r="E154" t="s">
        <v>18</v>
      </c>
      <c r="F154">
        <v>40</v>
      </c>
      <c r="G154">
        <v>14</v>
      </c>
      <c r="H154">
        <v>560</v>
      </c>
      <c r="I154" t="s">
        <v>15</v>
      </c>
      <c r="J154" t="s">
        <v>12</v>
      </c>
      <c r="K154" t="s">
        <v>16</v>
      </c>
    </row>
    <row r="155" spans="2:11" x14ac:dyDescent="0.25">
      <c r="B155">
        <v>151</v>
      </c>
      <c r="C155" s="1">
        <v>44752</v>
      </c>
      <c r="D155" t="s">
        <v>24</v>
      </c>
      <c r="E155" t="s">
        <v>11</v>
      </c>
      <c r="F155">
        <v>50</v>
      </c>
      <c r="G155">
        <v>13</v>
      </c>
      <c r="H155">
        <v>650</v>
      </c>
      <c r="I155" t="s">
        <v>19</v>
      </c>
      <c r="J155" t="s">
        <v>22</v>
      </c>
      <c r="K155" t="s">
        <v>23</v>
      </c>
    </row>
    <row r="156" spans="2:11" x14ac:dyDescent="0.25">
      <c r="B156">
        <v>152</v>
      </c>
      <c r="C156" s="1">
        <v>44858</v>
      </c>
      <c r="D156" t="s">
        <v>27</v>
      </c>
      <c r="E156" t="s">
        <v>18</v>
      </c>
      <c r="F156">
        <v>40</v>
      </c>
      <c r="G156">
        <v>9</v>
      </c>
      <c r="H156">
        <v>360</v>
      </c>
      <c r="I156" t="s">
        <v>19</v>
      </c>
      <c r="J156" t="s">
        <v>12</v>
      </c>
      <c r="K156" t="s">
        <v>16</v>
      </c>
    </row>
    <row r="157" spans="2:11" x14ac:dyDescent="0.25">
      <c r="B157">
        <v>153</v>
      </c>
      <c r="C157" s="1">
        <v>44763</v>
      </c>
      <c r="D157" t="s">
        <v>21</v>
      </c>
      <c r="E157" t="s">
        <v>11</v>
      </c>
      <c r="F157">
        <v>20</v>
      </c>
      <c r="G157">
        <v>1</v>
      </c>
      <c r="H157">
        <v>20</v>
      </c>
      <c r="I157" t="s">
        <v>15</v>
      </c>
      <c r="J157" t="s">
        <v>22</v>
      </c>
      <c r="K157" t="s">
        <v>20</v>
      </c>
    </row>
    <row r="158" spans="2:11" x14ac:dyDescent="0.25">
      <c r="B158">
        <v>154</v>
      </c>
      <c r="C158" s="1">
        <v>44908</v>
      </c>
      <c r="D158" t="s">
        <v>14</v>
      </c>
      <c r="E158" t="s">
        <v>11</v>
      </c>
      <c r="F158">
        <v>20</v>
      </c>
      <c r="G158">
        <v>3</v>
      </c>
      <c r="H158">
        <v>60</v>
      </c>
      <c r="I158" t="s">
        <v>15</v>
      </c>
      <c r="J158" t="s">
        <v>12</v>
      </c>
      <c r="K158" t="s">
        <v>13</v>
      </c>
    </row>
    <row r="159" spans="2:11" x14ac:dyDescent="0.25">
      <c r="B159">
        <v>155</v>
      </c>
      <c r="C159" s="1">
        <v>44964</v>
      </c>
      <c r="D159" t="s">
        <v>17</v>
      </c>
      <c r="E159" t="s">
        <v>18</v>
      </c>
      <c r="F159">
        <v>25</v>
      </c>
      <c r="G159">
        <v>10</v>
      </c>
      <c r="H159">
        <v>250</v>
      </c>
      <c r="I159" t="s">
        <v>15</v>
      </c>
      <c r="J159" t="s">
        <v>22</v>
      </c>
      <c r="K159" t="s">
        <v>20</v>
      </c>
    </row>
    <row r="160" spans="2:11" x14ac:dyDescent="0.25">
      <c r="B160">
        <v>156</v>
      </c>
      <c r="C160" s="1">
        <v>45010</v>
      </c>
      <c r="D160" t="s">
        <v>21</v>
      </c>
      <c r="E160" t="s">
        <v>11</v>
      </c>
      <c r="F160">
        <v>20</v>
      </c>
      <c r="G160">
        <v>14</v>
      </c>
      <c r="H160">
        <v>280</v>
      </c>
      <c r="I160" t="s">
        <v>15</v>
      </c>
      <c r="J160" t="s">
        <v>12</v>
      </c>
      <c r="K160" t="s">
        <v>26</v>
      </c>
    </row>
    <row r="161" spans="2:11" x14ac:dyDescent="0.25">
      <c r="B161">
        <v>157</v>
      </c>
      <c r="C161" s="1">
        <v>44981</v>
      </c>
      <c r="D161" t="s">
        <v>24</v>
      </c>
      <c r="E161" t="s">
        <v>11</v>
      </c>
      <c r="F161">
        <v>50</v>
      </c>
      <c r="G161">
        <v>7</v>
      </c>
      <c r="H161">
        <v>350</v>
      </c>
      <c r="I161" t="s">
        <v>19</v>
      </c>
      <c r="J161" t="s">
        <v>22</v>
      </c>
      <c r="K161" t="s">
        <v>26</v>
      </c>
    </row>
    <row r="162" spans="2:11" x14ac:dyDescent="0.25">
      <c r="B162">
        <v>158</v>
      </c>
      <c r="C162" s="1">
        <v>44697</v>
      </c>
      <c r="D162" t="s">
        <v>10</v>
      </c>
      <c r="E162" t="s">
        <v>11</v>
      </c>
      <c r="F162">
        <v>20</v>
      </c>
      <c r="G162">
        <v>2</v>
      </c>
      <c r="H162">
        <v>40</v>
      </c>
      <c r="J162" t="s">
        <v>12</v>
      </c>
      <c r="K162" t="s">
        <v>26</v>
      </c>
    </row>
    <row r="163" spans="2:11" x14ac:dyDescent="0.25">
      <c r="B163">
        <v>159</v>
      </c>
      <c r="C163" s="1">
        <v>44837</v>
      </c>
      <c r="D163" t="s">
        <v>17</v>
      </c>
      <c r="E163" t="s">
        <v>18</v>
      </c>
      <c r="F163">
        <v>25</v>
      </c>
      <c r="G163">
        <v>1</v>
      </c>
      <c r="H163">
        <v>25</v>
      </c>
      <c r="I163" t="s">
        <v>19</v>
      </c>
      <c r="J163" t="s">
        <v>22</v>
      </c>
      <c r="K163" t="s">
        <v>16</v>
      </c>
    </row>
    <row r="164" spans="2:11" x14ac:dyDescent="0.25">
      <c r="B164">
        <v>160</v>
      </c>
      <c r="C164" s="1">
        <v>44765</v>
      </c>
      <c r="D164" t="s">
        <v>14</v>
      </c>
      <c r="E164" t="s">
        <v>11</v>
      </c>
      <c r="F164">
        <v>20</v>
      </c>
      <c r="G164">
        <v>10</v>
      </c>
      <c r="H164">
        <v>200</v>
      </c>
      <c r="I164" t="s">
        <v>19</v>
      </c>
      <c r="J164" t="s">
        <v>12</v>
      </c>
      <c r="K164" t="s">
        <v>13</v>
      </c>
    </row>
    <row r="165" spans="2:11" x14ac:dyDescent="0.25">
      <c r="B165">
        <v>161</v>
      </c>
      <c r="C165" s="1">
        <v>44945</v>
      </c>
      <c r="D165" t="s">
        <v>17</v>
      </c>
      <c r="E165" t="s">
        <v>18</v>
      </c>
      <c r="F165">
        <v>25</v>
      </c>
      <c r="G165">
        <v>12</v>
      </c>
      <c r="H165">
        <v>300</v>
      </c>
      <c r="I165" t="s">
        <v>15</v>
      </c>
      <c r="J165" t="s">
        <v>12</v>
      </c>
      <c r="K165" t="s">
        <v>20</v>
      </c>
    </row>
    <row r="166" spans="2:11" x14ac:dyDescent="0.25">
      <c r="B166">
        <v>162</v>
      </c>
      <c r="C166" s="1">
        <v>44688</v>
      </c>
      <c r="D166" t="s">
        <v>10</v>
      </c>
      <c r="E166" t="s">
        <v>11</v>
      </c>
      <c r="F166">
        <v>20</v>
      </c>
      <c r="G166">
        <v>11</v>
      </c>
      <c r="H166">
        <v>220</v>
      </c>
      <c r="I166" t="s">
        <v>15</v>
      </c>
      <c r="J166" t="s">
        <v>12</v>
      </c>
      <c r="K166" t="s">
        <v>26</v>
      </c>
    </row>
    <row r="167" spans="2:11" x14ac:dyDescent="0.25">
      <c r="B167">
        <v>163</v>
      </c>
      <c r="C167" s="1">
        <v>44932</v>
      </c>
      <c r="D167" t="s">
        <v>24</v>
      </c>
      <c r="E167" t="s">
        <v>11</v>
      </c>
      <c r="F167">
        <v>50</v>
      </c>
      <c r="G167">
        <v>6</v>
      </c>
      <c r="H167">
        <v>300</v>
      </c>
      <c r="I167" t="s">
        <v>19</v>
      </c>
      <c r="J167" t="s">
        <v>22</v>
      </c>
      <c r="K167" t="s">
        <v>26</v>
      </c>
    </row>
    <row r="168" spans="2:11" x14ac:dyDescent="0.25">
      <c r="B168">
        <v>164</v>
      </c>
      <c r="C168" s="1">
        <v>44783</v>
      </c>
      <c r="D168" t="s">
        <v>17</v>
      </c>
      <c r="E168" t="s">
        <v>18</v>
      </c>
      <c r="F168">
        <v>25</v>
      </c>
      <c r="G168">
        <v>7</v>
      </c>
      <c r="H168">
        <v>175</v>
      </c>
      <c r="I168" t="s">
        <v>19</v>
      </c>
      <c r="J168" t="s">
        <v>12</v>
      </c>
      <c r="K168" t="s">
        <v>16</v>
      </c>
    </row>
    <row r="169" spans="2:11" x14ac:dyDescent="0.25">
      <c r="B169">
        <v>165</v>
      </c>
      <c r="C169" s="1">
        <v>44931</v>
      </c>
      <c r="D169" t="s">
        <v>25</v>
      </c>
      <c r="E169" t="s">
        <v>11</v>
      </c>
      <c r="F169">
        <v>60</v>
      </c>
      <c r="G169">
        <v>11</v>
      </c>
      <c r="H169">
        <v>660</v>
      </c>
      <c r="I169" t="s">
        <v>15</v>
      </c>
      <c r="J169" t="s">
        <v>12</v>
      </c>
      <c r="K169" t="s">
        <v>26</v>
      </c>
    </row>
    <row r="170" spans="2:11" x14ac:dyDescent="0.25">
      <c r="B170">
        <v>166</v>
      </c>
      <c r="C170" s="1">
        <v>44713</v>
      </c>
      <c r="D170" t="s">
        <v>21</v>
      </c>
      <c r="E170" t="s">
        <v>11</v>
      </c>
      <c r="F170">
        <v>20</v>
      </c>
      <c r="G170">
        <v>6</v>
      </c>
      <c r="H170">
        <v>120</v>
      </c>
      <c r="I170" t="s">
        <v>15</v>
      </c>
      <c r="J170" t="s">
        <v>22</v>
      </c>
      <c r="K170" t="s">
        <v>20</v>
      </c>
    </row>
    <row r="171" spans="2:11" x14ac:dyDescent="0.25">
      <c r="B171">
        <v>167</v>
      </c>
      <c r="C171" s="1">
        <v>44980</v>
      </c>
      <c r="D171" t="s">
        <v>27</v>
      </c>
      <c r="E171" t="s">
        <v>18</v>
      </c>
      <c r="F171">
        <v>40</v>
      </c>
      <c r="G171">
        <v>6</v>
      </c>
      <c r="H171">
        <v>240</v>
      </c>
      <c r="I171" t="s">
        <v>15</v>
      </c>
      <c r="J171" t="s">
        <v>22</v>
      </c>
      <c r="K171" t="s">
        <v>23</v>
      </c>
    </row>
    <row r="172" spans="2:11" x14ac:dyDescent="0.25">
      <c r="B172">
        <v>168</v>
      </c>
      <c r="C172" s="1">
        <v>44670</v>
      </c>
      <c r="D172" t="s">
        <v>25</v>
      </c>
      <c r="E172" t="s">
        <v>11</v>
      </c>
      <c r="F172">
        <v>60</v>
      </c>
      <c r="G172">
        <v>4</v>
      </c>
      <c r="H172">
        <v>240</v>
      </c>
      <c r="I172" t="s">
        <v>15</v>
      </c>
      <c r="J172" t="s">
        <v>22</v>
      </c>
      <c r="K172" t="s">
        <v>26</v>
      </c>
    </row>
    <row r="173" spans="2:11" x14ac:dyDescent="0.25">
      <c r="B173">
        <v>169</v>
      </c>
      <c r="C173" s="1">
        <v>44732</v>
      </c>
      <c r="D173" t="s">
        <v>14</v>
      </c>
      <c r="E173" t="s">
        <v>11</v>
      </c>
      <c r="F173">
        <v>20</v>
      </c>
      <c r="G173">
        <v>6</v>
      </c>
      <c r="H173">
        <v>120</v>
      </c>
      <c r="I173" t="s">
        <v>15</v>
      </c>
      <c r="J173" t="s">
        <v>12</v>
      </c>
      <c r="K173" t="s">
        <v>23</v>
      </c>
    </row>
    <row r="174" spans="2:11" x14ac:dyDescent="0.25">
      <c r="B174">
        <v>170</v>
      </c>
      <c r="C174" s="1">
        <v>44970</v>
      </c>
      <c r="D174" t="s">
        <v>10</v>
      </c>
      <c r="E174" t="s">
        <v>11</v>
      </c>
      <c r="F174">
        <v>20</v>
      </c>
      <c r="G174">
        <v>6</v>
      </c>
      <c r="H174">
        <v>120</v>
      </c>
      <c r="J174" t="s">
        <v>22</v>
      </c>
      <c r="K174" t="s">
        <v>16</v>
      </c>
    </row>
    <row r="175" spans="2:11" x14ac:dyDescent="0.25">
      <c r="B175">
        <v>171</v>
      </c>
      <c r="C175" s="1">
        <v>44987</v>
      </c>
      <c r="D175" t="s">
        <v>14</v>
      </c>
      <c r="E175" t="s">
        <v>11</v>
      </c>
      <c r="F175">
        <v>20</v>
      </c>
      <c r="G175">
        <v>11</v>
      </c>
      <c r="H175">
        <v>220</v>
      </c>
      <c r="I175" t="s">
        <v>15</v>
      </c>
      <c r="J175" t="s">
        <v>22</v>
      </c>
      <c r="K175" t="s">
        <v>26</v>
      </c>
    </row>
    <row r="176" spans="2:11" x14ac:dyDescent="0.25">
      <c r="B176">
        <v>172</v>
      </c>
      <c r="C176" s="1">
        <v>44800</v>
      </c>
      <c r="D176" t="s">
        <v>17</v>
      </c>
      <c r="E176" t="s">
        <v>18</v>
      </c>
      <c r="F176">
        <v>25</v>
      </c>
      <c r="G176">
        <v>6</v>
      </c>
      <c r="H176">
        <v>150</v>
      </c>
      <c r="I176" t="s">
        <v>19</v>
      </c>
      <c r="J176" t="s">
        <v>22</v>
      </c>
      <c r="K176" t="s">
        <v>13</v>
      </c>
    </row>
    <row r="177" spans="2:11" x14ac:dyDescent="0.25">
      <c r="B177">
        <v>173</v>
      </c>
      <c r="C177" s="1">
        <v>44946</v>
      </c>
      <c r="D177" t="s">
        <v>27</v>
      </c>
      <c r="E177" t="s">
        <v>18</v>
      </c>
      <c r="F177">
        <v>40</v>
      </c>
      <c r="G177">
        <v>2</v>
      </c>
      <c r="H177">
        <v>80</v>
      </c>
      <c r="I177" t="s">
        <v>19</v>
      </c>
      <c r="J177" t="s">
        <v>12</v>
      </c>
      <c r="K177" t="s">
        <v>13</v>
      </c>
    </row>
    <row r="178" spans="2:11" x14ac:dyDescent="0.25">
      <c r="B178">
        <v>174</v>
      </c>
      <c r="C178" s="1">
        <v>44807</v>
      </c>
      <c r="D178" t="s">
        <v>10</v>
      </c>
      <c r="E178" t="s">
        <v>11</v>
      </c>
      <c r="F178">
        <v>20</v>
      </c>
      <c r="G178">
        <v>2</v>
      </c>
      <c r="H178">
        <v>40</v>
      </c>
      <c r="I178" t="s">
        <v>19</v>
      </c>
      <c r="J178" t="s">
        <v>12</v>
      </c>
      <c r="K178" t="s">
        <v>20</v>
      </c>
    </row>
    <row r="179" spans="2:11" x14ac:dyDescent="0.25">
      <c r="B179">
        <v>175</v>
      </c>
      <c r="C179" s="1">
        <v>44851</v>
      </c>
      <c r="D179" t="s">
        <v>24</v>
      </c>
      <c r="E179" t="s">
        <v>11</v>
      </c>
      <c r="F179">
        <v>50</v>
      </c>
      <c r="G179">
        <v>12</v>
      </c>
      <c r="H179">
        <v>600</v>
      </c>
      <c r="I179" t="s">
        <v>15</v>
      </c>
      <c r="J179" t="s">
        <v>22</v>
      </c>
      <c r="K179" t="s">
        <v>16</v>
      </c>
    </row>
    <row r="180" spans="2:11" x14ac:dyDescent="0.25">
      <c r="B180">
        <v>176</v>
      </c>
      <c r="C180" s="1">
        <v>44777</v>
      </c>
      <c r="D180" t="s">
        <v>21</v>
      </c>
      <c r="E180" t="s">
        <v>11</v>
      </c>
      <c r="F180">
        <v>20</v>
      </c>
      <c r="G180">
        <v>1</v>
      </c>
      <c r="H180">
        <v>20</v>
      </c>
      <c r="I180" t="s">
        <v>15</v>
      </c>
      <c r="J180" t="s">
        <v>22</v>
      </c>
      <c r="K180" t="s">
        <v>26</v>
      </c>
    </row>
    <row r="181" spans="2:11" x14ac:dyDescent="0.25">
      <c r="B181">
        <v>177</v>
      </c>
      <c r="C181" s="1">
        <v>44763</v>
      </c>
      <c r="D181" t="s">
        <v>21</v>
      </c>
      <c r="E181" t="s">
        <v>11</v>
      </c>
      <c r="F181">
        <v>20</v>
      </c>
      <c r="G181">
        <v>11</v>
      </c>
      <c r="H181">
        <v>220</v>
      </c>
      <c r="I181" t="s">
        <v>19</v>
      </c>
      <c r="J181" t="s">
        <v>22</v>
      </c>
      <c r="K181" t="s">
        <v>23</v>
      </c>
    </row>
    <row r="182" spans="2:11" x14ac:dyDescent="0.25">
      <c r="B182">
        <v>178</v>
      </c>
      <c r="C182" s="1">
        <v>44904</v>
      </c>
      <c r="D182" t="s">
        <v>10</v>
      </c>
      <c r="E182" t="s">
        <v>11</v>
      </c>
      <c r="F182">
        <v>20</v>
      </c>
      <c r="G182">
        <v>2</v>
      </c>
      <c r="H182">
        <v>40</v>
      </c>
      <c r="I182" t="s">
        <v>15</v>
      </c>
      <c r="J182" t="s">
        <v>22</v>
      </c>
      <c r="K182" t="s">
        <v>23</v>
      </c>
    </row>
    <row r="183" spans="2:11" x14ac:dyDescent="0.25">
      <c r="B183">
        <v>179</v>
      </c>
      <c r="C183" s="1">
        <v>44988</v>
      </c>
      <c r="D183" t="s">
        <v>17</v>
      </c>
      <c r="E183" t="s">
        <v>18</v>
      </c>
      <c r="F183">
        <v>25</v>
      </c>
      <c r="G183">
        <v>5</v>
      </c>
      <c r="H183">
        <v>125</v>
      </c>
      <c r="J183" t="s">
        <v>22</v>
      </c>
      <c r="K183" t="s">
        <v>26</v>
      </c>
    </row>
    <row r="184" spans="2:11" x14ac:dyDescent="0.25">
      <c r="B184">
        <v>180</v>
      </c>
      <c r="C184" s="1">
        <v>44896</v>
      </c>
      <c r="D184" t="s">
        <v>14</v>
      </c>
      <c r="E184" t="s">
        <v>11</v>
      </c>
      <c r="F184">
        <v>20</v>
      </c>
      <c r="G184">
        <v>6</v>
      </c>
      <c r="H184">
        <v>120</v>
      </c>
      <c r="I184" t="s">
        <v>19</v>
      </c>
      <c r="J184" t="s">
        <v>22</v>
      </c>
      <c r="K184" t="s">
        <v>16</v>
      </c>
    </row>
    <row r="185" spans="2:11" x14ac:dyDescent="0.25">
      <c r="B185">
        <v>181</v>
      </c>
      <c r="C185" s="1">
        <v>44721</v>
      </c>
      <c r="D185" t="s">
        <v>27</v>
      </c>
      <c r="E185" t="s">
        <v>18</v>
      </c>
      <c r="F185">
        <v>40</v>
      </c>
      <c r="G185">
        <v>7</v>
      </c>
      <c r="H185">
        <v>280</v>
      </c>
      <c r="I185" t="s">
        <v>15</v>
      </c>
      <c r="J185" t="s">
        <v>22</v>
      </c>
      <c r="K185" t="s">
        <v>13</v>
      </c>
    </row>
    <row r="186" spans="2:11" x14ac:dyDescent="0.25">
      <c r="B186">
        <v>182</v>
      </c>
      <c r="C186" s="1">
        <v>44744</v>
      </c>
      <c r="D186" t="s">
        <v>27</v>
      </c>
      <c r="E186" t="s">
        <v>18</v>
      </c>
      <c r="F186">
        <v>40</v>
      </c>
      <c r="G186">
        <v>1</v>
      </c>
      <c r="H186">
        <v>40</v>
      </c>
      <c r="I186" t="s">
        <v>15</v>
      </c>
      <c r="J186" t="s">
        <v>12</v>
      </c>
      <c r="K186" t="s">
        <v>26</v>
      </c>
    </row>
    <row r="187" spans="2:11" x14ac:dyDescent="0.25">
      <c r="B187">
        <v>183</v>
      </c>
      <c r="C187" s="1">
        <v>44752</v>
      </c>
      <c r="D187" t="s">
        <v>17</v>
      </c>
      <c r="E187" t="s">
        <v>18</v>
      </c>
      <c r="F187">
        <v>25</v>
      </c>
      <c r="G187">
        <v>5</v>
      </c>
      <c r="H187">
        <v>125</v>
      </c>
      <c r="I187" t="s">
        <v>15</v>
      </c>
      <c r="J187" t="s">
        <v>22</v>
      </c>
      <c r="K187" t="s">
        <v>26</v>
      </c>
    </row>
    <row r="188" spans="2:11" x14ac:dyDescent="0.25">
      <c r="B188">
        <v>184</v>
      </c>
      <c r="C188" s="1">
        <v>44929</v>
      </c>
      <c r="D188" t="s">
        <v>27</v>
      </c>
      <c r="E188" t="s">
        <v>18</v>
      </c>
      <c r="F188">
        <v>40</v>
      </c>
      <c r="G188">
        <v>8</v>
      </c>
      <c r="H188">
        <v>320</v>
      </c>
      <c r="I188" t="s">
        <v>15</v>
      </c>
      <c r="J188" t="s">
        <v>12</v>
      </c>
      <c r="K188" t="s">
        <v>13</v>
      </c>
    </row>
    <row r="189" spans="2:11" x14ac:dyDescent="0.25">
      <c r="B189">
        <v>185</v>
      </c>
      <c r="C189" s="1">
        <v>44939</v>
      </c>
      <c r="D189" t="s">
        <v>17</v>
      </c>
      <c r="E189" t="s">
        <v>18</v>
      </c>
      <c r="F189">
        <v>25</v>
      </c>
      <c r="G189">
        <v>15</v>
      </c>
      <c r="H189">
        <v>375</v>
      </c>
      <c r="J189" t="s">
        <v>12</v>
      </c>
      <c r="K189" t="s">
        <v>13</v>
      </c>
    </row>
    <row r="190" spans="2:11" x14ac:dyDescent="0.25">
      <c r="B190">
        <v>186</v>
      </c>
      <c r="C190" s="1">
        <v>45000</v>
      </c>
      <c r="D190" t="s">
        <v>24</v>
      </c>
      <c r="E190" t="s">
        <v>11</v>
      </c>
      <c r="F190">
        <v>50</v>
      </c>
      <c r="G190">
        <v>2</v>
      </c>
      <c r="H190">
        <v>100</v>
      </c>
      <c r="I190" t="s">
        <v>19</v>
      </c>
      <c r="J190" t="s">
        <v>12</v>
      </c>
      <c r="K190" t="s">
        <v>16</v>
      </c>
    </row>
    <row r="191" spans="2:11" x14ac:dyDescent="0.25">
      <c r="B191">
        <v>187</v>
      </c>
      <c r="C191" s="1">
        <v>44845</v>
      </c>
      <c r="D191" t="s">
        <v>10</v>
      </c>
      <c r="E191" t="s">
        <v>11</v>
      </c>
      <c r="F191">
        <v>20</v>
      </c>
      <c r="G191">
        <v>15</v>
      </c>
      <c r="H191">
        <v>300</v>
      </c>
      <c r="I191" t="s">
        <v>15</v>
      </c>
      <c r="J191" t="s">
        <v>22</v>
      </c>
      <c r="K191" t="s">
        <v>23</v>
      </c>
    </row>
    <row r="192" spans="2:11" x14ac:dyDescent="0.25">
      <c r="B192">
        <v>188</v>
      </c>
      <c r="C192" s="1">
        <v>44923</v>
      </c>
      <c r="D192" t="s">
        <v>21</v>
      </c>
      <c r="E192" t="s">
        <v>11</v>
      </c>
      <c r="F192">
        <v>20</v>
      </c>
      <c r="G192">
        <v>14</v>
      </c>
      <c r="H192">
        <v>280</v>
      </c>
      <c r="I192" t="s">
        <v>15</v>
      </c>
      <c r="J192" t="s">
        <v>22</v>
      </c>
      <c r="K192" t="s">
        <v>13</v>
      </c>
    </row>
    <row r="193" spans="2:11" x14ac:dyDescent="0.25">
      <c r="B193">
        <v>189</v>
      </c>
      <c r="C193" s="1">
        <v>44965</v>
      </c>
      <c r="D193" t="s">
        <v>14</v>
      </c>
      <c r="E193" t="s">
        <v>11</v>
      </c>
      <c r="F193">
        <v>20</v>
      </c>
      <c r="G193">
        <v>12</v>
      </c>
      <c r="H193">
        <v>240</v>
      </c>
      <c r="I193" t="s">
        <v>19</v>
      </c>
      <c r="J193" t="s">
        <v>12</v>
      </c>
      <c r="K193" t="s">
        <v>16</v>
      </c>
    </row>
    <row r="194" spans="2:11" x14ac:dyDescent="0.25">
      <c r="B194">
        <v>190</v>
      </c>
      <c r="C194" s="1">
        <v>44677</v>
      </c>
      <c r="D194" t="s">
        <v>27</v>
      </c>
      <c r="E194" t="s">
        <v>18</v>
      </c>
      <c r="F194">
        <v>40</v>
      </c>
      <c r="G194">
        <v>1</v>
      </c>
      <c r="H194">
        <v>40</v>
      </c>
      <c r="I194" t="s">
        <v>19</v>
      </c>
      <c r="J194" t="s">
        <v>12</v>
      </c>
      <c r="K194" t="s">
        <v>20</v>
      </c>
    </row>
    <row r="195" spans="2:11" x14ac:dyDescent="0.25">
      <c r="B195">
        <v>191</v>
      </c>
      <c r="C195" s="1">
        <v>44701</v>
      </c>
      <c r="D195" t="s">
        <v>17</v>
      </c>
      <c r="E195" t="s">
        <v>18</v>
      </c>
      <c r="F195">
        <v>25</v>
      </c>
      <c r="G195">
        <v>14</v>
      </c>
      <c r="H195">
        <v>350</v>
      </c>
      <c r="I195" t="s">
        <v>15</v>
      </c>
      <c r="J195" t="s">
        <v>22</v>
      </c>
      <c r="K195" t="s">
        <v>23</v>
      </c>
    </row>
    <row r="196" spans="2:11" x14ac:dyDescent="0.25">
      <c r="B196">
        <v>192</v>
      </c>
      <c r="C196" s="1">
        <v>44860</v>
      </c>
      <c r="D196" t="s">
        <v>14</v>
      </c>
      <c r="E196" t="s">
        <v>11</v>
      </c>
      <c r="F196">
        <v>20</v>
      </c>
      <c r="G196">
        <v>2</v>
      </c>
      <c r="H196">
        <v>40</v>
      </c>
      <c r="I196" t="s">
        <v>19</v>
      </c>
      <c r="J196" t="s">
        <v>12</v>
      </c>
      <c r="K196" t="s">
        <v>13</v>
      </c>
    </row>
    <row r="197" spans="2:11" x14ac:dyDescent="0.25">
      <c r="B197">
        <v>193</v>
      </c>
      <c r="C197" s="1">
        <v>44962</v>
      </c>
      <c r="D197" t="s">
        <v>27</v>
      </c>
      <c r="E197" t="s">
        <v>18</v>
      </c>
      <c r="F197">
        <v>40</v>
      </c>
      <c r="G197">
        <v>15</v>
      </c>
      <c r="H197">
        <v>600</v>
      </c>
      <c r="I197" t="s">
        <v>19</v>
      </c>
      <c r="J197" t="s">
        <v>22</v>
      </c>
      <c r="K197" t="s">
        <v>26</v>
      </c>
    </row>
    <row r="198" spans="2:11" x14ac:dyDescent="0.25">
      <c r="B198">
        <v>194</v>
      </c>
      <c r="C198" s="1">
        <v>44910</v>
      </c>
      <c r="D198" t="s">
        <v>14</v>
      </c>
      <c r="E198" t="s">
        <v>11</v>
      </c>
      <c r="F198">
        <v>20</v>
      </c>
      <c r="G198">
        <v>4</v>
      </c>
      <c r="H198">
        <v>80</v>
      </c>
      <c r="I198" t="s">
        <v>15</v>
      </c>
      <c r="J198" t="s">
        <v>22</v>
      </c>
      <c r="K198" t="s">
        <v>23</v>
      </c>
    </row>
    <row r="199" spans="2:11" x14ac:dyDescent="0.25">
      <c r="B199">
        <v>195</v>
      </c>
      <c r="C199" s="1">
        <v>44674</v>
      </c>
      <c r="D199" t="s">
        <v>25</v>
      </c>
      <c r="E199" t="s">
        <v>11</v>
      </c>
      <c r="F199">
        <v>60</v>
      </c>
      <c r="G199">
        <v>4</v>
      </c>
      <c r="H199">
        <v>240</v>
      </c>
      <c r="I199" t="s">
        <v>15</v>
      </c>
      <c r="J199" t="s">
        <v>22</v>
      </c>
      <c r="K199" t="s">
        <v>13</v>
      </c>
    </row>
    <row r="200" spans="2:11" x14ac:dyDescent="0.25">
      <c r="B200">
        <v>196</v>
      </c>
      <c r="C200" s="1">
        <v>44737</v>
      </c>
      <c r="D200" t="s">
        <v>25</v>
      </c>
      <c r="E200" t="s">
        <v>11</v>
      </c>
      <c r="F200">
        <v>60</v>
      </c>
      <c r="G200">
        <v>3</v>
      </c>
      <c r="H200">
        <v>180</v>
      </c>
      <c r="I200" t="s">
        <v>15</v>
      </c>
      <c r="J200" t="s">
        <v>12</v>
      </c>
      <c r="K200" t="s">
        <v>20</v>
      </c>
    </row>
    <row r="201" spans="2:11" x14ac:dyDescent="0.25">
      <c r="B201">
        <v>197</v>
      </c>
      <c r="C201" s="1">
        <v>44873</v>
      </c>
      <c r="D201" t="s">
        <v>21</v>
      </c>
      <c r="E201" t="s">
        <v>11</v>
      </c>
      <c r="F201">
        <v>20</v>
      </c>
      <c r="G201">
        <v>10</v>
      </c>
      <c r="H201">
        <v>200</v>
      </c>
      <c r="I201" t="s">
        <v>15</v>
      </c>
      <c r="J201" t="s">
        <v>22</v>
      </c>
      <c r="K201" t="s">
        <v>26</v>
      </c>
    </row>
    <row r="202" spans="2:11" x14ac:dyDescent="0.25">
      <c r="B202">
        <v>198</v>
      </c>
      <c r="C202" s="1">
        <v>44931</v>
      </c>
      <c r="D202" t="s">
        <v>24</v>
      </c>
      <c r="E202" t="s">
        <v>11</v>
      </c>
      <c r="F202">
        <v>50</v>
      </c>
      <c r="G202">
        <v>15</v>
      </c>
      <c r="H202">
        <v>750</v>
      </c>
      <c r="I202" t="s">
        <v>15</v>
      </c>
      <c r="J202" t="s">
        <v>12</v>
      </c>
      <c r="K202" t="s">
        <v>23</v>
      </c>
    </row>
    <row r="203" spans="2:11" x14ac:dyDescent="0.25">
      <c r="B203">
        <v>199</v>
      </c>
      <c r="C203" s="1">
        <v>44958</v>
      </c>
      <c r="D203" t="s">
        <v>24</v>
      </c>
      <c r="E203" t="s">
        <v>11</v>
      </c>
      <c r="F203">
        <v>50</v>
      </c>
      <c r="G203">
        <v>6</v>
      </c>
      <c r="H203">
        <v>300</v>
      </c>
      <c r="I203" t="s">
        <v>19</v>
      </c>
      <c r="J203" t="s">
        <v>22</v>
      </c>
      <c r="K203" t="s">
        <v>23</v>
      </c>
    </row>
    <row r="204" spans="2:11" x14ac:dyDescent="0.25">
      <c r="B204">
        <v>200</v>
      </c>
      <c r="C204" s="1">
        <v>44920</v>
      </c>
      <c r="D204" t="s">
        <v>27</v>
      </c>
      <c r="E204" t="s">
        <v>18</v>
      </c>
      <c r="F204">
        <v>40</v>
      </c>
      <c r="G204">
        <v>10</v>
      </c>
      <c r="H204">
        <v>400</v>
      </c>
      <c r="I204" t="s">
        <v>15</v>
      </c>
      <c r="J204" t="s">
        <v>22</v>
      </c>
      <c r="K204" t="s">
        <v>23</v>
      </c>
    </row>
    <row r="205" spans="2:11" x14ac:dyDescent="0.25">
      <c r="B205">
        <v>201</v>
      </c>
      <c r="C205" s="1">
        <v>44742</v>
      </c>
      <c r="D205" t="s">
        <v>21</v>
      </c>
      <c r="E205" t="s">
        <v>11</v>
      </c>
      <c r="F205">
        <v>20</v>
      </c>
      <c r="G205">
        <v>8</v>
      </c>
      <c r="H205">
        <v>160</v>
      </c>
      <c r="I205" t="s">
        <v>15</v>
      </c>
      <c r="J205" t="s">
        <v>12</v>
      </c>
      <c r="K205" t="s">
        <v>23</v>
      </c>
    </row>
    <row r="206" spans="2:11" x14ac:dyDescent="0.25">
      <c r="B206">
        <v>202</v>
      </c>
      <c r="C206" s="1">
        <v>44825</v>
      </c>
      <c r="D206" t="s">
        <v>10</v>
      </c>
      <c r="E206" t="s">
        <v>11</v>
      </c>
      <c r="F206">
        <v>20</v>
      </c>
      <c r="G206">
        <v>9</v>
      </c>
      <c r="H206">
        <v>180</v>
      </c>
      <c r="I206" t="s">
        <v>15</v>
      </c>
      <c r="J206" t="s">
        <v>12</v>
      </c>
      <c r="K206" t="s">
        <v>16</v>
      </c>
    </row>
    <row r="207" spans="2:11" x14ac:dyDescent="0.25">
      <c r="B207">
        <v>203</v>
      </c>
      <c r="C207" s="1">
        <v>44662</v>
      </c>
      <c r="D207" t="s">
        <v>14</v>
      </c>
      <c r="E207" t="s">
        <v>11</v>
      </c>
      <c r="F207">
        <v>20</v>
      </c>
      <c r="G207">
        <v>6</v>
      </c>
      <c r="H207">
        <v>120</v>
      </c>
      <c r="I207" t="s">
        <v>19</v>
      </c>
      <c r="J207" t="s">
        <v>22</v>
      </c>
      <c r="K207" t="s">
        <v>26</v>
      </c>
    </row>
    <row r="208" spans="2:11" x14ac:dyDescent="0.25">
      <c r="B208">
        <v>204</v>
      </c>
      <c r="C208" s="1">
        <v>44858</v>
      </c>
      <c r="D208" t="s">
        <v>27</v>
      </c>
      <c r="E208" t="s">
        <v>18</v>
      </c>
      <c r="F208">
        <v>40</v>
      </c>
      <c r="G208">
        <v>7</v>
      </c>
      <c r="H208">
        <v>280</v>
      </c>
      <c r="I208" t="s">
        <v>15</v>
      </c>
      <c r="J208" t="s">
        <v>22</v>
      </c>
      <c r="K208" t="s">
        <v>20</v>
      </c>
    </row>
    <row r="209" spans="2:11" x14ac:dyDescent="0.25">
      <c r="B209">
        <v>205</v>
      </c>
      <c r="C209" s="1">
        <v>44851</v>
      </c>
      <c r="D209" t="s">
        <v>14</v>
      </c>
      <c r="E209" t="s">
        <v>11</v>
      </c>
      <c r="F209">
        <v>20</v>
      </c>
      <c r="G209">
        <v>4</v>
      </c>
      <c r="H209">
        <v>80</v>
      </c>
      <c r="J209" t="s">
        <v>12</v>
      </c>
      <c r="K209" t="s">
        <v>16</v>
      </c>
    </row>
    <row r="210" spans="2:11" x14ac:dyDescent="0.25">
      <c r="B210">
        <v>206</v>
      </c>
      <c r="C210" s="1">
        <v>44769</v>
      </c>
      <c r="D210" t="s">
        <v>10</v>
      </c>
      <c r="E210" t="s">
        <v>11</v>
      </c>
      <c r="F210">
        <v>20</v>
      </c>
      <c r="G210">
        <v>4</v>
      </c>
      <c r="H210">
        <v>80</v>
      </c>
      <c r="I210" t="s">
        <v>15</v>
      </c>
      <c r="J210" t="s">
        <v>12</v>
      </c>
      <c r="K210" t="s">
        <v>13</v>
      </c>
    </row>
    <row r="211" spans="2:11" x14ac:dyDescent="0.25">
      <c r="B211">
        <v>207</v>
      </c>
      <c r="C211" s="1">
        <v>44977</v>
      </c>
      <c r="D211" t="s">
        <v>27</v>
      </c>
      <c r="E211" t="s">
        <v>18</v>
      </c>
      <c r="F211">
        <v>40</v>
      </c>
      <c r="G211">
        <v>8</v>
      </c>
      <c r="H211">
        <v>320</v>
      </c>
      <c r="I211" t="s">
        <v>19</v>
      </c>
      <c r="J211" t="s">
        <v>22</v>
      </c>
      <c r="K211" t="s">
        <v>20</v>
      </c>
    </row>
    <row r="212" spans="2:11" x14ac:dyDescent="0.25">
      <c r="B212">
        <v>208</v>
      </c>
      <c r="C212" s="1">
        <v>44799</v>
      </c>
      <c r="D212" t="s">
        <v>27</v>
      </c>
      <c r="E212" t="s">
        <v>18</v>
      </c>
      <c r="F212">
        <v>40</v>
      </c>
      <c r="G212">
        <v>13</v>
      </c>
      <c r="H212">
        <v>520</v>
      </c>
      <c r="I212" t="s">
        <v>15</v>
      </c>
      <c r="J212" t="s">
        <v>22</v>
      </c>
      <c r="K212" t="s">
        <v>26</v>
      </c>
    </row>
    <row r="213" spans="2:11" x14ac:dyDescent="0.25">
      <c r="B213">
        <v>209</v>
      </c>
      <c r="C213" s="1">
        <v>44899</v>
      </c>
      <c r="D213" t="s">
        <v>10</v>
      </c>
      <c r="E213" t="s">
        <v>11</v>
      </c>
      <c r="F213">
        <v>20</v>
      </c>
      <c r="G213">
        <v>2</v>
      </c>
      <c r="H213">
        <v>40</v>
      </c>
      <c r="I213" t="s">
        <v>15</v>
      </c>
      <c r="J213" t="s">
        <v>12</v>
      </c>
      <c r="K213" t="s">
        <v>13</v>
      </c>
    </row>
    <row r="214" spans="2:11" x14ac:dyDescent="0.25">
      <c r="B214">
        <v>210</v>
      </c>
      <c r="C214" s="1">
        <v>44928</v>
      </c>
      <c r="D214" t="s">
        <v>17</v>
      </c>
      <c r="E214" t="s">
        <v>18</v>
      </c>
      <c r="F214">
        <v>25</v>
      </c>
      <c r="G214">
        <v>15</v>
      </c>
      <c r="H214">
        <v>375</v>
      </c>
      <c r="J214" t="s">
        <v>12</v>
      </c>
      <c r="K214" t="s">
        <v>13</v>
      </c>
    </row>
    <row r="215" spans="2:11" x14ac:dyDescent="0.25">
      <c r="B215">
        <v>211</v>
      </c>
      <c r="C215" s="1">
        <v>44669</v>
      </c>
      <c r="D215" t="s">
        <v>10</v>
      </c>
      <c r="E215" t="s">
        <v>11</v>
      </c>
      <c r="F215">
        <v>20</v>
      </c>
      <c r="G215">
        <v>12</v>
      </c>
      <c r="H215">
        <v>240</v>
      </c>
      <c r="I215" t="s">
        <v>15</v>
      </c>
      <c r="J215" t="s">
        <v>12</v>
      </c>
      <c r="K215" t="s">
        <v>23</v>
      </c>
    </row>
    <row r="216" spans="2:11" x14ac:dyDescent="0.25">
      <c r="B216">
        <v>212</v>
      </c>
      <c r="C216" s="1">
        <v>44686</v>
      </c>
      <c r="D216" t="s">
        <v>27</v>
      </c>
      <c r="E216" t="s">
        <v>18</v>
      </c>
      <c r="F216">
        <v>40</v>
      </c>
      <c r="G216">
        <v>12</v>
      </c>
      <c r="H216">
        <v>480</v>
      </c>
      <c r="I216" t="s">
        <v>19</v>
      </c>
      <c r="J216" t="s">
        <v>22</v>
      </c>
      <c r="K216" t="s">
        <v>23</v>
      </c>
    </row>
    <row r="217" spans="2:11" x14ac:dyDescent="0.25">
      <c r="B217">
        <v>213</v>
      </c>
      <c r="C217" s="1">
        <v>44833</v>
      </c>
      <c r="D217" t="s">
        <v>14</v>
      </c>
      <c r="E217" t="s">
        <v>11</v>
      </c>
      <c r="F217">
        <v>20</v>
      </c>
      <c r="G217">
        <v>3</v>
      </c>
      <c r="H217">
        <v>60</v>
      </c>
      <c r="J217" t="s">
        <v>22</v>
      </c>
      <c r="K217" t="s">
        <v>26</v>
      </c>
    </row>
    <row r="218" spans="2:11" x14ac:dyDescent="0.25">
      <c r="B218">
        <v>214</v>
      </c>
      <c r="C218" s="1">
        <v>44898</v>
      </c>
      <c r="D218" t="s">
        <v>17</v>
      </c>
      <c r="E218" t="s">
        <v>18</v>
      </c>
      <c r="F218">
        <v>25</v>
      </c>
      <c r="G218">
        <v>14</v>
      </c>
      <c r="H218">
        <v>350</v>
      </c>
      <c r="I218" t="s">
        <v>19</v>
      </c>
      <c r="J218" t="s">
        <v>12</v>
      </c>
      <c r="K218" t="s">
        <v>20</v>
      </c>
    </row>
    <row r="219" spans="2:11" x14ac:dyDescent="0.25">
      <c r="B219">
        <v>215</v>
      </c>
      <c r="C219" s="1">
        <v>44905</v>
      </c>
      <c r="D219" t="s">
        <v>17</v>
      </c>
      <c r="E219" t="s">
        <v>18</v>
      </c>
      <c r="F219">
        <v>25</v>
      </c>
      <c r="G219">
        <v>7</v>
      </c>
      <c r="H219">
        <v>175</v>
      </c>
      <c r="J219" t="s">
        <v>22</v>
      </c>
      <c r="K219" t="s">
        <v>23</v>
      </c>
    </row>
    <row r="220" spans="2:11" x14ac:dyDescent="0.25">
      <c r="B220">
        <v>216</v>
      </c>
      <c r="C220" s="1">
        <v>44992</v>
      </c>
      <c r="D220" t="s">
        <v>21</v>
      </c>
      <c r="E220" t="s">
        <v>11</v>
      </c>
      <c r="F220">
        <v>20</v>
      </c>
      <c r="G220">
        <v>9</v>
      </c>
      <c r="H220">
        <v>180</v>
      </c>
      <c r="I220" t="s">
        <v>15</v>
      </c>
      <c r="J220" t="s">
        <v>22</v>
      </c>
      <c r="K220" t="s">
        <v>16</v>
      </c>
    </row>
    <row r="221" spans="2:11" x14ac:dyDescent="0.25">
      <c r="B221">
        <v>217</v>
      </c>
      <c r="C221" s="1">
        <v>45008</v>
      </c>
      <c r="D221" t="s">
        <v>27</v>
      </c>
      <c r="E221" t="s">
        <v>18</v>
      </c>
      <c r="F221">
        <v>40</v>
      </c>
      <c r="G221">
        <v>10</v>
      </c>
      <c r="H221">
        <v>400</v>
      </c>
      <c r="I221" t="s">
        <v>15</v>
      </c>
      <c r="J221" t="s">
        <v>12</v>
      </c>
      <c r="K221" t="s">
        <v>23</v>
      </c>
    </row>
    <row r="222" spans="2:11" x14ac:dyDescent="0.25">
      <c r="B222">
        <v>218</v>
      </c>
      <c r="C222" s="1">
        <v>44918</v>
      </c>
      <c r="D222" t="s">
        <v>27</v>
      </c>
      <c r="E222" t="s">
        <v>18</v>
      </c>
      <c r="F222">
        <v>40</v>
      </c>
      <c r="G222">
        <v>13</v>
      </c>
      <c r="H222">
        <v>520</v>
      </c>
      <c r="I222" t="s">
        <v>19</v>
      </c>
      <c r="J222" t="s">
        <v>22</v>
      </c>
      <c r="K222" t="s">
        <v>26</v>
      </c>
    </row>
    <row r="223" spans="2:11" x14ac:dyDescent="0.25">
      <c r="B223">
        <v>219</v>
      </c>
      <c r="C223" s="1">
        <v>44835</v>
      </c>
      <c r="D223" t="s">
        <v>10</v>
      </c>
      <c r="E223" t="s">
        <v>11</v>
      </c>
      <c r="F223">
        <v>20</v>
      </c>
      <c r="G223">
        <v>9</v>
      </c>
      <c r="H223">
        <v>180</v>
      </c>
      <c r="I223" t="s">
        <v>15</v>
      </c>
      <c r="J223" t="s">
        <v>22</v>
      </c>
      <c r="K223" t="s">
        <v>20</v>
      </c>
    </row>
    <row r="224" spans="2:11" x14ac:dyDescent="0.25">
      <c r="B224">
        <v>220</v>
      </c>
      <c r="C224" s="1">
        <v>44694</v>
      </c>
      <c r="D224" t="s">
        <v>17</v>
      </c>
      <c r="E224" t="s">
        <v>18</v>
      </c>
      <c r="F224">
        <v>25</v>
      </c>
      <c r="G224">
        <v>1</v>
      </c>
      <c r="H224">
        <v>25</v>
      </c>
      <c r="I224" t="s">
        <v>15</v>
      </c>
      <c r="J224" t="s">
        <v>12</v>
      </c>
      <c r="K224" t="s">
        <v>16</v>
      </c>
    </row>
    <row r="225" spans="2:11" x14ac:dyDescent="0.25">
      <c r="B225">
        <v>221</v>
      </c>
      <c r="C225" s="1">
        <v>45011</v>
      </c>
      <c r="D225" t="s">
        <v>25</v>
      </c>
      <c r="E225" t="s">
        <v>11</v>
      </c>
      <c r="F225">
        <v>60</v>
      </c>
      <c r="G225">
        <v>1</v>
      </c>
      <c r="H225">
        <v>60</v>
      </c>
      <c r="I225" t="s">
        <v>19</v>
      </c>
      <c r="J225" t="s">
        <v>12</v>
      </c>
      <c r="K225" t="s">
        <v>20</v>
      </c>
    </row>
    <row r="226" spans="2:11" x14ac:dyDescent="0.25">
      <c r="B226">
        <v>222</v>
      </c>
      <c r="C226" s="1">
        <v>44815</v>
      </c>
      <c r="D226" t="s">
        <v>25</v>
      </c>
      <c r="E226" t="s">
        <v>11</v>
      </c>
      <c r="F226">
        <v>60</v>
      </c>
      <c r="G226">
        <v>6</v>
      </c>
      <c r="H226">
        <v>360</v>
      </c>
      <c r="I226" t="s">
        <v>15</v>
      </c>
      <c r="J226" t="s">
        <v>22</v>
      </c>
      <c r="K226" t="s">
        <v>23</v>
      </c>
    </row>
    <row r="227" spans="2:11" x14ac:dyDescent="0.25">
      <c r="B227">
        <v>223</v>
      </c>
      <c r="C227" s="1">
        <v>44825</v>
      </c>
      <c r="D227" t="s">
        <v>21</v>
      </c>
      <c r="E227" t="s">
        <v>11</v>
      </c>
      <c r="F227">
        <v>20</v>
      </c>
      <c r="G227">
        <v>13</v>
      </c>
      <c r="H227">
        <v>260</v>
      </c>
      <c r="I227" t="s">
        <v>19</v>
      </c>
      <c r="J227" t="s">
        <v>12</v>
      </c>
      <c r="K227" t="s">
        <v>13</v>
      </c>
    </row>
    <row r="228" spans="2:11" x14ac:dyDescent="0.25">
      <c r="B228">
        <v>224</v>
      </c>
      <c r="C228" s="1">
        <v>45008</v>
      </c>
      <c r="D228" t="s">
        <v>17</v>
      </c>
      <c r="E228" t="s">
        <v>18</v>
      </c>
      <c r="F228">
        <v>25</v>
      </c>
      <c r="G228">
        <v>14</v>
      </c>
      <c r="H228">
        <v>350</v>
      </c>
      <c r="I228" t="s">
        <v>15</v>
      </c>
      <c r="J228" t="s">
        <v>12</v>
      </c>
      <c r="K228" t="s">
        <v>16</v>
      </c>
    </row>
    <row r="229" spans="2:11" x14ac:dyDescent="0.25">
      <c r="B229">
        <v>225</v>
      </c>
      <c r="C229" s="1">
        <v>45001</v>
      </c>
      <c r="D229" t="s">
        <v>24</v>
      </c>
      <c r="E229" t="s">
        <v>11</v>
      </c>
      <c r="F229">
        <v>50</v>
      </c>
      <c r="G229">
        <v>11</v>
      </c>
      <c r="H229">
        <v>550</v>
      </c>
      <c r="I229" t="s">
        <v>15</v>
      </c>
      <c r="J229" t="s">
        <v>22</v>
      </c>
      <c r="K229" t="s">
        <v>20</v>
      </c>
    </row>
    <row r="230" spans="2:11" x14ac:dyDescent="0.25">
      <c r="B230">
        <v>226</v>
      </c>
      <c r="C230" s="1">
        <v>44907</v>
      </c>
      <c r="D230" t="s">
        <v>10</v>
      </c>
      <c r="E230" t="s">
        <v>11</v>
      </c>
      <c r="F230">
        <v>20</v>
      </c>
      <c r="G230">
        <v>13</v>
      </c>
      <c r="H230">
        <v>260</v>
      </c>
      <c r="I230" t="s">
        <v>19</v>
      </c>
      <c r="J230" t="s">
        <v>22</v>
      </c>
      <c r="K230" t="s">
        <v>16</v>
      </c>
    </row>
    <row r="231" spans="2:11" x14ac:dyDescent="0.25">
      <c r="B231">
        <v>227</v>
      </c>
      <c r="C231" s="1">
        <v>44882</v>
      </c>
      <c r="D231" t="s">
        <v>27</v>
      </c>
      <c r="E231" t="s">
        <v>18</v>
      </c>
      <c r="F231">
        <v>40</v>
      </c>
      <c r="G231">
        <v>5</v>
      </c>
      <c r="H231">
        <v>200</v>
      </c>
      <c r="I231" t="s">
        <v>15</v>
      </c>
      <c r="J231" t="s">
        <v>22</v>
      </c>
      <c r="K231" t="s">
        <v>16</v>
      </c>
    </row>
    <row r="232" spans="2:11" x14ac:dyDescent="0.25">
      <c r="B232">
        <v>228</v>
      </c>
      <c r="C232" s="1">
        <v>44870</v>
      </c>
      <c r="D232" t="s">
        <v>21</v>
      </c>
      <c r="E232" t="s">
        <v>11</v>
      </c>
      <c r="F232">
        <v>20</v>
      </c>
      <c r="G232">
        <v>8</v>
      </c>
      <c r="H232">
        <v>160</v>
      </c>
      <c r="I232" t="s">
        <v>19</v>
      </c>
      <c r="J232" t="s">
        <v>12</v>
      </c>
      <c r="K232" t="s">
        <v>13</v>
      </c>
    </row>
    <row r="233" spans="2:11" x14ac:dyDescent="0.25">
      <c r="B233">
        <v>229</v>
      </c>
      <c r="C233" s="1">
        <v>44910</v>
      </c>
      <c r="D233" t="s">
        <v>21</v>
      </c>
      <c r="E233" t="s">
        <v>11</v>
      </c>
      <c r="F233">
        <v>20</v>
      </c>
      <c r="G233">
        <v>7</v>
      </c>
      <c r="H233">
        <v>140</v>
      </c>
      <c r="J233" t="s">
        <v>12</v>
      </c>
      <c r="K233" t="s">
        <v>20</v>
      </c>
    </row>
    <row r="234" spans="2:11" x14ac:dyDescent="0.25">
      <c r="B234">
        <v>230</v>
      </c>
      <c r="C234" s="1">
        <v>44667</v>
      </c>
      <c r="D234" t="s">
        <v>24</v>
      </c>
      <c r="E234" t="s">
        <v>11</v>
      </c>
      <c r="F234">
        <v>50</v>
      </c>
      <c r="G234">
        <v>6</v>
      </c>
      <c r="H234">
        <v>300</v>
      </c>
      <c r="I234" t="s">
        <v>19</v>
      </c>
      <c r="J234" t="s">
        <v>12</v>
      </c>
      <c r="K234" t="s">
        <v>16</v>
      </c>
    </row>
    <row r="235" spans="2:11" x14ac:dyDescent="0.25">
      <c r="B235">
        <v>231</v>
      </c>
      <c r="C235" s="1">
        <v>44667</v>
      </c>
      <c r="D235" t="s">
        <v>17</v>
      </c>
      <c r="E235" t="s">
        <v>18</v>
      </c>
      <c r="F235">
        <v>25</v>
      </c>
      <c r="G235">
        <v>3</v>
      </c>
      <c r="H235">
        <v>75</v>
      </c>
      <c r="J235" t="s">
        <v>12</v>
      </c>
      <c r="K235" t="s">
        <v>13</v>
      </c>
    </row>
    <row r="236" spans="2:11" x14ac:dyDescent="0.25">
      <c r="B236">
        <v>232</v>
      </c>
      <c r="C236" s="1">
        <v>44674</v>
      </c>
      <c r="D236" t="s">
        <v>14</v>
      </c>
      <c r="E236" t="s">
        <v>11</v>
      </c>
      <c r="F236">
        <v>20</v>
      </c>
      <c r="G236">
        <v>13</v>
      </c>
      <c r="H236">
        <v>260</v>
      </c>
      <c r="I236" t="s">
        <v>15</v>
      </c>
      <c r="J236" t="s">
        <v>22</v>
      </c>
      <c r="K236" t="s">
        <v>13</v>
      </c>
    </row>
    <row r="237" spans="2:11" x14ac:dyDescent="0.25">
      <c r="B237">
        <v>233</v>
      </c>
      <c r="C237" s="1">
        <v>44773</v>
      </c>
      <c r="D237" t="s">
        <v>21</v>
      </c>
      <c r="E237" t="s">
        <v>11</v>
      </c>
      <c r="F237">
        <v>20</v>
      </c>
      <c r="G237">
        <v>5</v>
      </c>
      <c r="H237">
        <v>100</v>
      </c>
      <c r="I237" t="s">
        <v>15</v>
      </c>
      <c r="J237" t="s">
        <v>12</v>
      </c>
      <c r="K237" t="s">
        <v>23</v>
      </c>
    </row>
    <row r="238" spans="2:11" x14ac:dyDescent="0.25">
      <c r="B238">
        <v>234</v>
      </c>
      <c r="C238" s="1">
        <v>44769</v>
      </c>
      <c r="D238" t="s">
        <v>21</v>
      </c>
      <c r="E238" t="s">
        <v>11</v>
      </c>
      <c r="F238">
        <v>20</v>
      </c>
      <c r="G238">
        <v>10</v>
      </c>
      <c r="H238">
        <v>200</v>
      </c>
      <c r="I238" t="s">
        <v>15</v>
      </c>
      <c r="J238" t="s">
        <v>12</v>
      </c>
      <c r="K238" t="s">
        <v>26</v>
      </c>
    </row>
    <row r="239" spans="2:11" x14ac:dyDescent="0.25">
      <c r="B239">
        <v>235</v>
      </c>
      <c r="C239" s="1">
        <v>44894</v>
      </c>
      <c r="D239" t="s">
        <v>25</v>
      </c>
      <c r="E239" t="s">
        <v>11</v>
      </c>
      <c r="F239">
        <v>60</v>
      </c>
      <c r="G239">
        <v>10</v>
      </c>
      <c r="H239">
        <v>600</v>
      </c>
      <c r="I239" t="s">
        <v>15</v>
      </c>
      <c r="J239" t="s">
        <v>22</v>
      </c>
      <c r="K239" t="s">
        <v>16</v>
      </c>
    </row>
    <row r="240" spans="2:11" x14ac:dyDescent="0.25">
      <c r="B240">
        <v>236</v>
      </c>
      <c r="C240" s="1">
        <v>44738</v>
      </c>
      <c r="D240" t="s">
        <v>14</v>
      </c>
      <c r="E240" t="s">
        <v>11</v>
      </c>
      <c r="F240">
        <v>20</v>
      </c>
      <c r="G240">
        <v>12</v>
      </c>
      <c r="H240">
        <v>240</v>
      </c>
      <c r="J240" t="s">
        <v>22</v>
      </c>
      <c r="K240" t="s">
        <v>20</v>
      </c>
    </row>
    <row r="241" spans="2:11" x14ac:dyDescent="0.25">
      <c r="B241">
        <v>237</v>
      </c>
      <c r="C241" s="1">
        <v>44873</v>
      </c>
      <c r="D241" t="s">
        <v>21</v>
      </c>
      <c r="E241" t="s">
        <v>11</v>
      </c>
      <c r="F241">
        <v>20</v>
      </c>
      <c r="G241">
        <v>13</v>
      </c>
      <c r="H241">
        <v>260</v>
      </c>
      <c r="I241" t="s">
        <v>15</v>
      </c>
      <c r="J241" t="s">
        <v>22</v>
      </c>
      <c r="K241" t="s">
        <v>26</v>
      </c>
    </row>
    <row r="242" spans="2:11" x14ac:dyDescent="0.25">
      <c r="B242">
        <v>238</v>
      </c>
      <c r="C242" s="1">
        <v>44677</v>
      </c>
      <c r="D242" t="s">
        <v>14</v>
      </c>
      <c r="E242" t="s">
        <v>11</v>
      </c>
      <c r="F242">
        <v>20</v>
      </c>
      <c r="G242">
        <v>13</v>
      </c>
      <c r="H242">
        <v>260</v>
      </c>
      <c r="I242" t="s">
        <v>15</v>
      </c>
      <c r="J242" t="s">
        <v>12</v>
      </c>
      <c r="K242" t="s">
        <v>23</v>
      </c>
    </row>
    <row r="243" spans="2:11" x14ac:dyDescent="0.25">
      <c r="B243">
        <v>239</v>
      </c>
      <c r="C243" s="1">
        <v>44899</v>
      </c>
      <c r="D243" t="s">
        <v>24</v>
      </c>
      <c r="E243" t="s">
        <v>11</v>
      </c>
      <c r="F243">
        <v>50</v>
      </c>
      <c r="G243">
        <v>4</v>
      </c>
      <c r="H243">
        <v>200</v>
      </c>
      <c r="I243" t="s">
        <v>19</v>
      </c>
      <c r="J243" t="s">
        <v>12</v>
      </c>
      <c r="K243" t="s">
        <v>20</v>
      </c>
    </row>
    <row r="244" spans="2:11" x14ac:dyDescent="0.25">
      <c r="B244">
        <v>240</v>
      </c>
      <c r="C244" s="1">
        <v>44906</v>
      </c>
      <c r="D244" t="s">
        <v>25</v>
      </c>
      <c r="E244" t="s">
        <v>11</v>
      </c>
      <c r="F244">
        <v>60</v>
      </c>
      <c r="G244">
        <v>10</v>
      </c>
      <c r="H244">
        <v>600</v>
      </c>
      <c r="I244" t="s">
        <v>15</v>
      </c>
      <c r="J244" t="s">
        <v>22</v>
      </c>
      <c r="K244" t="s">
        <v>23</v>
      </c>
    </row>
    <row r="245" spans="2:11" x14ac:dyDescent="0.25">
      <c r="B245">
        <v>241</v>
      </c>
      <c r="C245" s="1">
        <v>44718</v>
      </c>
      <c r="D245" t="s">
        <v>17</v>
      </c>
      <c r="E245" t="s">
        <v>18</v>
      </c>
      <c r="F245">
        <v>25</v>
      </c>
      <c r="G245">
        <v>2</v>
      </c>
      <c r="H245">
        <v>50</v>
      </c>
      <c r="I245" t="s">
        <v>15</v>
      </c>
      <c r="J245" t="s">
        <v>12</v>
      </c>
      <c r="K245" t="s">
        <v>16</v>
      </c>
    </row>
    <row r="246" spans="2:11" x14ac:dyDescent="0.25">
      <c r="B246">
        <v>242</v>
      </c>
      <c r="C246" s="1">
        <v>44918</v>
      </c>
      <c r="D246" t="s">
        <v>27</v>
      </c>
      <c r="E246" t="s">
        <v>18</v>
      </c>
      <c r="F246">
        <v>40</v>
      </c>
      <c r="G246">
        <v>4</v>
      </c>
      <c r="H246">
        <v>160</v>
      </c>
      <c r="I246" t="s">
        <v>19</v>
      </c>
      <c r="J246" t="s">
        <v>22</v>
      </c>
      <c r="K246" t="s">
        <v>26</v>
      </c>
    </row>
    <row r="247" spans="2:11" x14ac:dyDescent="0.25">
      <c r="B247">
        <v>243</v>
      </c>
      <c r="C247" s="1">
        <v>44877</v>
      </c>
      <c r="D247" t="s">
        <v>21</v>
      </c>
      <c r="E247" t="s">
        <v>11</v>
      </c>
      <c r="F247">
        <v>20</v>
      </c>
      <c r="G247">
        <v>5</v>
      </c>
      <c r="H247">
        <v>100</v>
      </c>
      <c r="I247" t="s">
        <v>15</v>
      </c>
      <c r="J247" t="s">
        <v>22</v>
      </c>
      <c r="K247" t="s">
        <v>26</v>
      </c>
    </row>
    <row r="248" spans="2:11" x14ac:dyDescent="0.25">
      <c r="B248">
        <v>244</v>
      </c>
      <c r="C248" s="1">
        <v>44887</v>
      </c>
      <c r="D248" t="s">
        <v>25</v>
      </c>
      <c r="E248" t="s">
        <v>11</v>
      </c>
      <c r="F248">
        <v>60</v>
      </c>
      <c r="G248">
        <v>10</v>
      </c>
      <c r="H248">
        <v>600</v>
      </c>
      <c r="I248" t="s">
        <v>19</v>
      </c>
      <c r="J248" t="s">
        <v>22</v>
      </c>
      <c r="K248" t="s">
        <v>26</v>
      </c>
    </row>
    <row r="249" spans="2:11" x14ac:dyDescent="0.25">
      <c r="B249">
        <v>245</v>
      </c>
      <c r="C249" s="1">
        <v>44837</v>
      </c>
      <c r="D249" t="s">
        <v>14</v>
      </c>
      <c r="E249" t="s">
        <v>11</v>
      </c>
      <c r="F249">
        <v>20</v>
      </c>
      <c r="G249">
        <v>2</v>
      </c>
      <c r="H249">
        <v>40</v>
      </c>
      <c r="I249" t="s">
        <v>15</v>
      </c>
      <c r="J249" t="s">
        <v>22</v>
      </c>
      <c r="K249" t="s">
        <v>23</v>
      </c>
    </row>
    <row r="250" spans="2:11" x14ac:dyDescent="0.25">
      <c r="B250">
        <v>246</v>
      </c>
      <c r="C250" s="1">
        <v>44881</v>
      </c>
      <c r="D250" t="s">
        <v>14</v>
      </c>
      <c r="E250" t="s">
        <v>11</v>
      </c>
      <c r="F250">
        <v>20</v>
      </c>
      <c r="G250">
        <v>10</v>
      </c>
      <c r="H250">
        <v>200</v>
      </c>
      <c r="I250" t="s">
        <v>15</v>
      </c>
      <c r="J250" t="s">
        <v>12</v>
      </c>
      <c r="K250" t="s">
        <v>16</v>
      </c>
    </row>
    <row r="251" spans="2:11" x14ac:dyDescent="0.25">
      <c r="B251">
        <v>247</v>
      </c>
      <c r="C251" s="1">
        <v>44837</v>
      </c>
      <c r="D251" t="s">
        <v>17</v>
      </c>
      <c r="E251" t="s">
        <v>18</v>
      </c>
      <c r="F251">
        <v>25</v>
      </c>
      <c r="G251">
        <v>6</v>
      </c>
      <c r="H251">
        <v>150</v>
      </c>
      <c r="J251" t="s">
        <v>12</v>
      </c>
      <c r="K251" t="s">
        <v>26</v>
      </c>
    </row>
    <row r="252" spans="2:11" x14ac:dyDescent="0.25">
      <c r="B252">
        <v>248</v>
      </c>
      <c r="C252" s="1">
        <v>44668</v>
      </c>
      <c r="D252" t="s">
        <v>24</v>
      </c>
      <c r="E252" t="s">
        <v>11</v>
      </c>
      <c r="F252">
        <v>50</v>
      </c>
      <c r="G252">
        <v>5</v>
      </c>
      <c r="H252">
        <v>250</v>
      </c>
      <c r="I252" t="s">
        <v>19</v>
      </c>
      <c r="J252" t="s">
        <v>22</v>
      </c>
      <c r="K252" t="s">
        <v>26</v>
      </c>
    </row>
    <row r="253" spans="2:11" x14ac:dyDescent="0.25">
      <c r="B253">
        <v>249</v>
      </c>
      <c r="C253" s="1">
        <v>44860</v>
      </c>
      <c r="D253" t="s">
        <v>17</v>
      </c>
      <c r="E253" t="s">
        <v>18</v>
      </c>
      <c r="F253">
        <v>25</v>
      </c>
      <c r="G253">
        <v>3</v>
      </c>
      <c r="H253">
        <v>75</v>
      </c>
      <c r="I253" t="s">
        <v>19</v>
      </c>
      <c r="J253" t="s">
        <v>22</v>
      </c>
      <c r="K253" t="s">
        <v>16</v>
      </c>
    </row>
    <row r="254" spans="2:11" x14ac:dyDescent="0.25">
      <c r="B254">
        <v>250</v>
      </c>
      <c r="C254" s="1">
        <v>44880</v>
      </c>
      <c r="D254" t="s">
        <v>17</v>
      </c>
      <c r="E254" t="s">
        <v>18</v>
      </c>
      <c r="F254">
        <v>25</v>
      </c>
      <c r="G254">
        <v>6</v>
      </c>
      <c r="H254">
        <v>150</v>
      </c>
      <c r="I254" t="s">
        <v>19</v>
      </c>
      <c r="J254" t="s">
        <v>22</v>
      </c>
      <c r="K254" t="s">
        <v>26</v>
      </c>
    </row>
    <row r="255" spans="2:11" x14ac:dyDescent="0.25">
      <c r="B255">
        <v>251</v>
      </c>
      <c r="C255" s="1">
        <v>44916</v>
      </c>
      <c r="D255" t="s">
        <v>27</v>
      </c>
      <c r="E255" t="s">
        <v>18</v>
      </c>
      <c r="F255">
        <v>40</v>
      </c>
      <c r="G255">
        <v>13</v>
      </c>
      <c r="H255">
        <v>520</v>
      </c>
      <c r="J255" t="s">
        <v>22</v>
      </c>
      <c r="K255" t="s">
        <v>16</v>
      </c>
    </row>
    <row r="256" spans="2:11" x14ac:dyDescent="0.25">
      <c r="B256">
        <v>252</v>
      </c>
      <c r="C256" s="1">
        <v>45011</v>
      </c>
      <c r="D256" t="s">
        <v>14</v>
      </c>
      <c r="E256" t="s">
        <v>11</v>
      </c>
      <c r="F256">
        <v>20</v>
      </c>
      <c r="G256">
        <v>8</v>
      </c>
      <c r="H256">
        <v>160</v>
      </c>
      <c r="I256" t="s">
        <v>19</v>
      </c>
      <c r="J256" t="s">
        <v>12</v>
      </c>
      <c r="K256" t="s">
        <v>26</v>
      </c>
    </row>
    <row r="257" spans="2:11" x14ac:dyDescent="0.25">
      <c r="B257">
        <v>253</v>
      </c>
      <c r="C257" s="1">
        <v>44730</v>
      </c>
      <c r="D257" t="s">
        <v>17</v>
      </c>
      <c r="E257" t="s">
        <v>18</v>
      </c>
      <c r="F257">
        <v>25</v>
      </c>
      <c r="G257">
        <v>13</v>
      </c>
      <c r="H257">
        <v>325</v>
      </c>
      <c r="I257" t="s">
        <v>19</v>
      </c>
      <c r="J257" t="s">
        <v>12</v>
      </c>
      <c r="K257" t="s">
        <v>16</v>
      </c>
    </row>
    <row r="258" spans="2:11" x14ac:dyDescent="0.25">
      <c r="B258">
        <v>254</v>
      </c>
      <c r="C258" s="1">
        <v>44843</v>
      </c>
      <c r="D258" t="s">
        <v>27</v>
      </c>
      <c r="E258" t="s">
        <v>18</v>
      </c>
      <c r="F258">
        <v>40</v>
      </c>
      <c r="G258">
        <v>12</v>
      </c>
      <c r="H258">
        <v>480</v>
      </c>
      <c r="J258" t="s">
        <v>22</v>
      </c>
      <c r="K258" t="s">
        <v>16</v>
      </c>
    </row>
    <row r="259" spans="2:11" x14ac:dyDescent="0.25">
      <c r="B259">
        <v>255</v>
      </c>
      <c r="C259" s="1">
        <v>44681</v>
      </c>
      <c r="D259" t="s">
        <v>14</v>
      </c>
      <c r="E259" t="s">
        <v>11</v>
      </c>
      <c r="F259">
        <v>20</v>
      </c>
      <c r="G259">
        <v>7</v>
      </c>
      <c r="H259">
        <v>140</v>
      </c>
      <c r="J259" t="s">
        <v>22</v>
      </c>
      <c r="K259" t="s">
        <v>16</v>
      </c>
    </row>
    <row r="260" spans="2:11" x14ac:dyDescent="0.25">
      <c r="B260">
        <v>256</v>
      </c>
      <c r="C260" s="1">
        <v>45001</v>
      </c>
      <c r="D260" t="s">
        <v>10</v>
      </c>
      <c r="E260" t="s">
        <v>11</v>
      </c>
      <c r="F260">
        <v>20</v>
      </c>
      <c r="G260">
        <v>3</v>
      </c>
      <c r="H260">
        <v>60</v>
      </c>
      <c r="I260" t="s">
        <v>19</v>
      </c>
      <c r="J260" t="s">
        <v>22</v>
      </c>
      <c r="K260" t="s">
        <v>26</v>
      </c>
    </row>
    <row r="261" spans="2:11" x14ac:dyDescent="0.25">
      <c r="B261">
        <v>257</v>
      </c>
      <c r="C261" s="1">
        <v>44929</v>
      </c>
      <c r="D261" t="s">
        <v>25</v>
      </c>
      <c r="E261" t="s">
        <v>11</v>
      </c>
      <c r="F261">
        <v>60</v>
      </c>
      <c r="G261">
        <v>10</v>
      </c>
      <c r="H261">
        <v>600</v>
      </c>
      <c r="I261" t="s">
        <v>15</v>
      </c>
      <c r="J261" t="s">
        <v>22</v>
      </c>
      <c r="K261" t="s">
        <v>26</v>
      </c>
    </row>
    <row r="262" spans="2:11" x14ac:dyDescent="0.25">
      <c r="B262">
        <v>258</v>
      </c>
      <c r="C262" s="1">
        <v>44810</v>
      </c>
      <c r="D262" t="s">
        <v>14</v>
      </c>
      <c r="E262" t="s">
        <v>11</v>
      </c>
      <c r="F262">
        <v>20</v>
      </c>
      <c r="G262">
        <v>14</v>
      </c>
      <c r="H262">
        <v>280</v>
      </c>
      <c r="I262" t="s">
        <v>15</v>
      </c>
      <c r="J262" t="s">
        <v>12</v>
      </c>
      <c r="K262" t="s">
        <v>26</v>
      </c>
    </row>
    <row r="263" spans="2:11" x14ac:dyDescent="0.25">
      <c r="B263">
        <v>259</v>
      </c>
      <c r="C263" s="1">
        <v>44883</v>
      </c>
      <c r="D263" t="s">
        <v>25</v>
      </c>
      <c r="E263" t="s">
        <v>11</v>
      </c>
      <c r="F263">
        <v>60</v>
      </c>
      <c r="G263">
        <v>4</v>
      </c>
      <c r="H263">
        <v>240</v>
      </c>
      <c r="I263" t="s">
        <v>19</v>
      </c>
      <c r="J263" t="s">
        <v>12</v>
      </c>
      <c r="K263" t="s">
        <v>23</v>
      </c>
    </row>
    <row r="264" spans="2:11" x14ac:dyDescent="0.25">
      <c r="B264">
        <v>260</v>
      </c>
      <c r="C264" s="1">
        <v>44814</v>
      </c>
      <c r="D264" t="s">
        <v>17</v>
      </c>
      <c r="E264" t="s">
        <v>18</v>
      </c>
      <c r="F264">
        <v>25</v>
      </c>
      <c r="G264">
        <v>2</v>
      </c>
      <c r="H264">
        <v>50</v>
      </c>
      <c r="I264" t="s">
        <v>19</v>
      </c>
      <c r="J264" t="s">
        <v>22</v>
      </c>
      <c r="K264" t="s">
        <v>13</v>
      </c>
    </row>
    <row r="265" spans="2:11" x14ac:dyDescent="0.25">
      <c r="B265">
        <v>261</v>
      </c>
      <c r="C265" s="1">
        <v>44937</v>
      </c>
      <c r="D265" t="s">
        <v>24</v>
      </c>
      <c r="E265" t="s">
        <v>11</v>
      </c>
      <c r="F265">
        <v>50</v>
      </c>
      <c r="G265">
        <v>9</v>
      </c>
      <c r="H265">
        <v>450</v>
      </c>
      <c r="I265" t="s">
        <v>15</v>
      </c>
      <c r="J265" t="s">
        <v>22</v>
      </c>
      <c r="K265" t="s">
        <v>26</v>
      </c>
    </row>
    <row r="266" spans="2:11" x14ac:dyDescent="0.25">
      <c r="B266">
        <v>262</v>
      </c>
      <c r="C266" s="1">
        <v>44990</v>
      </c>
      <c r="D266" t="s">
        <v>14</v>
      </c>
      <c r="E266" t="s">
        <v>11</v>
      </c>
      <c r="F266">
        <v>20</v>
      </c>
      <c r="G266">
        <v>5</v>
      </c>
      <c r="H266">
        <v>100</v>
      </c>
      <c r="J266" t="s">
        <v>22</v>
      </c>
      <c r="K266" t="s">
        <v>20</v>
      </c>
    </row>
    <row r="267" spans="2:11" x14ac:dyDescent="0.25">
      <c r="B267">
        <v>263</v>
      </c>
      <c r="C267" s="1">
        <v>44731</v>
      </c>
      <c r="D267" t="s">
        <v>21</v>
      </c>
      <c r="E267" t="s">
        <v>11</v>
      </c>
      <c r="F267">
        <v>20</v>
      </c>
      <c r="G267">
        <v>2</v>
      </c>
      <c r="H267">
        <v>40</v>
      </c>
      <c r="I267" t="s">
        <v>15</v>
      </c>
      <c r="J267" t="s">
        <v>12</v>
      </c>
      <c r="K267" t="s">
        <v>20</v>
      </c>
    </row>
    <row r="268" spans="2:11" x14ac:dyDescent="0.25">
      <c r="B268">
        <v>264</v>
      </c>
      <c r="C268" s="1">
        <v>44760</v>
      </c>
      <c r="D268" t="s">
        <v>17</v>
      </c>
      <c r="E268" t="s">
        <v>18</v>
      </c>
      <c r="F268">
        <v>25</v>
      </c>
      <c r="G268">
        <v>12</v>
      </c>
      <c r="H268">
        <v>300</v>
      </c>
      <c r="I268" t="s">
        <v>19</v>
      </c>
      <c r="J268" t="s">
        <v>12</v>
      </c>
      <c r="K268" t="s">
        <v>23</v>
      </c>
    </row>
    <row r="269" spans="2:11" x14ac:dyDescent="0.25">
      <c r="B269">
        <v>265</v>
      </c>
      <c r="C269" s="1">
        <v>44788</v>
      </c>
      <c r="D269" t="s">
        <v>14</v>
      </c>
      <c r="E269" t="s">
        <v>11</v>
      </c>
      <c r="F269">
        <v>20</v>
      </c>
      <c r="G269">
        <v>6</v>
      </c>
      <c r="H269">
        <v>120</v>
      </c>
      <c r="I269" t="s">
        <v>15</v>
      </c>
      <c r="J269" t="s">
        <v>12</v>
      </c>
      <c r="K269" t="s">
        <v>26</v>
      </c>
    </row>
    <row r="270" spans="2:11" x14ac:dyDescent="0.25">
      <c r="B270">
        <v>266</v>
      </c>
      <c r="C270" s="1">
        <v>44836</v>
      </c>
      <c r="D270" t="s">
        <v>24</v>
      </c>
      <c r="E270" t="s">
        <v>11</v>
      </c>
      <c r="F270">
        <v>50</v>
      </c>
      <c r="G270">
        <v>10</v>
      </c>
      <c r="H270">
        <v>500</v>
      </c>
      <c r="I270" t="s">
        <v>19</v>
      </c>
      <c r="J270" t="s">
        <v>22</v>
      </c>
      <c r="K270" t="s">
        <v>13</v>
      </c>
    </row>
    <row r="271" spans="2:11" x14ac:dyDescent="0.25">
      <c r="B271">
        <v>267</v>
      </c>
      <c r="C271" s="1">
        <v>44990</v>
      </c>
      <c r="D271" t="s">
        <v>14</v>
      </c>
      <c r="E271" t="s">
        <v>11</v>
      </c>
      <c r="F271">
        <v>20</v>
      </c>
      <c r="G271">
        <v>1</v>
      </c>
      <c r="H271">
        <v>20</v>
      </c>
      <c r="I271" t="s">
        <v>15</v>
      </c>
      <c r="J271" t="s">
        <v>12</v>
      </c>
      <c r="K271" t="s">
        <v>23</v>
      </c>
    </row>
    <row r="272" spans="2:11" x14ac:dyDescent="0.25">
      <c r="B272">
        <v>268</v>
      </c>
      <c r="C272" s="1">
        <v>44962</v>
      </c>
      <c r="D272" t="s">
        <v>27</v>
      </c>
      <c r="E272" t="s">
        <v>18</v>
      </c>
      <c r="F272">
        <v>40</v>
      </c>
      <c r="G272">
        <v>12</v>
      </c>
      <c r="H272">
        <v>480</v>
      </c>
      <c r="I272" t="s">
        <v>15</v>
      </c>
      <c r="J272" t="s">
        <v>22</v>
      </c>
      <c r="K272" t="s">
        <v>26</v>
      </c>
    </row>
    <row r="273" spans="2:11" x14ac:dyDescent="0.25">
      <c r="B273">
        <v>269</v>
      </c>
      <c r="C273" s="1">
        <v>44917</v>
      </c>
      <c r="D273" t="s">
        <v>21</v>
      </c>
      <c r="E273" t="s">
        <v>11</v>
      </c>
      <c r="F273">
        <v>20</v>
      </c>
      <c r="G273">
        <v>2</v>
      </c>
      <c r="H273">
        <v>40</v>
      </c>
      <c r="J273" t="s">
        <v>22</v>
      </c>
      <c r="K273" t="s">
        <v>26</v>
      </c>
    </row>
    <row r="274" spans="2:11" x14ac:dyDescent="0.25">
      <c r="B274">
        <v>270</v>
      </c>
      <c r="C274" s="1">
        <v>44811</v>
      </c>
      <c r="D274" t="s">
        <v>25</v>
      </c>
      <c r="E274" t="s">
        <v>11</v>
      </c>
      <c r="F274">
        <v>60</v>
      </c>
      <c r="G274">
        <v>13</v>
      </c>
      <c r="H274">
        <v>780</v>
      </c>
      <c r="I274" t="s">
        <v>15</v>
      </c>
      <c r="J274" t="s">
        <v>12</v>
      </c>
      <c r="K274" t="s">
        <v>20</v>
      </c>
    </row>
    <row r="275" spans="2:11" x14ac:dyDescent="0.25">
      <c r="B275">
        <v>271</v>
      </c>
      <c r="C275" s="1">
        <v>44684</v>
      </c>
      <c r="D275" t="s">
        <v>14</v>
      </c>
      <c r="E275" t="s">
        <v>11</v>
      </c>
      <c r="F275">
        <v>20</v>
      </c>
      <c r="G275">
        <v>13</v>
      </c>
      <c r="H275">
        <v>260</v>
      </c>
      <c r="I275" t="s">
        <v>15</v>
      </c>
      <c r="J275" t="s">
        <v>12</v>
      </c>
      <c r="K275" t="s">
        <v>20</v>
      </c>
    </row>
    <row r="276" spans="2:11" x14ac:dyDescent="0.25">
      <c r="B276">
        <v>272</v>
      </c>
      <c r="C276" s="1">
        <v>44771</v>
      </c>
      <c r="D276" t="s">
        <v>24</v>
      </c>
      <c r="E276" t="s">
        <v>11</v>
      </c>
      <c r="F276">
        <v>50</v>
      </c>
      <c r="G276">
        <v>5</v>
      </c>
      <c r="H276">
        <v>250</v>
      </c>
      <c r="I276" t="s">
        <v>19</v>
      </c>
      <c r="J276" t="s">
        <v>22</v>
      </c>
      <c r="K276" t="s">
        <v>13</v>
      </c>
    </row>
    <row r="277" spans="2:11" x14ac:dyDescent="0.25">
      <c r="B277">
        <v>273</v>
      </c>
      <c r="C277" s="1">
        <v>44788</v>
      </c>
      <c r="D277" t="s">
        <v>21</v>
      </c>
      <c r="E277" t="s">
        <v>11</v>
      </c>
      <c r="F277">
        <v>20</v>
      </c>
      <c r="G277">
        <v>15</v>
      </c>
      <c r="H277">
        <v>300</v>
      </c>
      <c r="I277" t="s">
        <v>15</v>
      </c>
      <c r="J277" t="s">
        <v>12</v>
      </c>
      <c r="K277" t="s">
        <v>26</v>
      </c>
    </row>
    <row r="278" spans="2:11" x14ac:dyDescent="0.25">
      <c r="B278">
        <v>274</v>
      </c>
      <c r="C278" s="1">
        <v>44930</v>
      </c>
      <c r="D278" t="s">
        <v>17</v>
      </c>
      <c r="E278" t="s">
        <v>18</v>
      </c>
      <c r="F278">
        <v>25</v>
      </c>
      <c r="G278">
        <v>10</v>
      </c>
      <c r="H278">
        <v>250</v>
      </c>
      <c r="I278" t="s">
        <v>19</v>
      </c>
      <c r="J278" t="s">
        <v>12</v>
      </c>
      <c r="K278" t="s">
        <v>13</v>
      </c>
    </row>
    <row r="279" spans="2:11" x14ac:dyDescent="0.25">
      <c r="B279">
        <v>275</v>
      </c>
      <c r="C279" s="1">
        <v>44961</v>
      </c>
      <c r="D279" t="s">
        <v>14</v>
      </c>
      <c r="E279" t="s">
        <v>11</v>
      </c>
      <c r="F279">
        <v>20</v>
      </c>
      <c r="G279">
        <v>15</v>
      </c>
      <c r="H279">
        <v>300</v>
      </c>
      <c r="I279" t="s">
        <v>19</v>
      </c>
      <c r="J279" t="s">
        <v>12</v>
      </c>
      <c r="K279" t="s">
        <v>13</v>
      </c>
    </row>
    <row r="280" spans="2:11" x14ac:dyDescent="0.25">
      <c r="B280">
        <v>276</v>
      </c>
      <c r="C280" s="1">
        <v>44834</v>
      </c>
      <c r="D280" t="s">
        <v>17</v>
      </c>
      <c r="E280" t="s">
        <v>18</v>
      </c>
      <c r="F280">
        <v>25</v>
      </c>
      <c r="G280">
        <v>6</v>
      </c>
      <c r="H280">
        <v>150</v>
      </c>
      <c r="I280" t="s">
        <v>15</v>
      </c>
      <c r="J280" t="s">
        <v>12</v>
      </c>
      <c r="K280" t="s">
        <v>26</v>
      </c>
    </row>
    <row r="281" spans="2:11" x14ac:dyDescent="0.25">
      <c r="B281">
        <v>277</v>
      </c>
      <c r="C281" s="1">
        <v>44903</v>
      </c>
      <c r="D281" t="s">
        <v>27</v>
      </c>
      <c r="E281" t="s">
        <v>18</v>
      </c>
      <c r="F281">
        <v>40</v>
      </c>
      <c r="G281">
        <v>13</v>
      </c>
      <c r="H281">
        <v>520</v>
      </c>
      <c r="I281" t="s">
        <v>15</v>
      </c>
      <c r="J281" t="s">
        <v>22</v>
      </c>
      <c r="K281" t="s">
        <v>26</v>
      </c>
    </row>
    <row r="282" spans="2:11" x14ac:dyDescent="0.25">
      <c r="B282">
        <v>278</v>
      </c>
      <c r="C282" s="1">
        <v>44731</v>
      </c>
      <c r="D282" t="s">
        <v>24</v>
      </c>
      <c r="E282" t="s">
        <v>11</v>
      </c>
      <c r="F282">
        <v>50</v>
      </c>
      <c r="G282">
        <v>6</v>
      </c>
      <c r="H282">
        <v>300</v>
      </c>
      <c r="I282" t="s">
        <v>19</v>
      </c>
      <c r="J282" t="s">
        <v>22</v>
      </c>
      <c r="K282" t="s">
        <v>13</v>
      </c>
    </row>
    <row r="283" spans="2:11" x14ac:dyDescent="0.25">
      <c r="B283">
        <v>279</v>
      </c>
      <c r="C283" s="1">
        <v>44818</v>
      </c>
      <c r="D283" t="s">
        <v>14</v>
      </c>
      <c r="E283" t="s">
        <v>11</v>
      </c>
      <c r="F283">
        <v>20</v>
      </c>
      <c r="G283">
        <v>15</v>
      </c>
      <c r="H283">
        <v>300</v>
      </c>
      <c r="I283" t="s">
        <v>15</v>
      </c>
      <c r="J283" t="s">
        <v>22</v>
      </c>
      <c r="K283" t="s">
        <v>16</v>
      </c>
    </row>
    <row r="284" spans="2:11" x14ac:dyDescent="0.25">
      <c r="B284">
        <v>280</v>
      </c>
      <c r="C284" s="1">
        <v>44843</v>
      </c>
      <c r="D284" t="s">
        <v>21</v>
      </c>
      <c r="E284" t="s">
        <v>11</v>
      </c>
      <c r="F284">
        <v>20</v>
      </c>
      <c r="G284">
        <v>14</v>
      </c>
      <c r="H284">
        <v>280</v>
      </c>
      <c r="I284" t="s">
        <v>19</v>
      </c>
      <c r="J284" t="s">
        <v>22</v>
      </c>
      <c r="K284" t="s">
        <v>20</v>
      </c>
    </row>
    <row r="285" spans="2:11" x14ac:dyDescent="0.25">
      <c r="B285">
        <v>281</v>
      </c>
      <c r="C285" s="1">
        <v>44782</v>
      </c>
      <c r="D285" t="s">
        <v>25</v>
      </c>
      <c r="E285" t="s">
        <v>11</v>
      </c>
      <c r="F285">
        <v>60</v>
      </c>
      <c r="G285">
        <v>3</v>
      </c>
      <c r="H285">
        <v>180</v>
      </c>
      <c r="I285" t="s">
        <v>15</v>
      </c>
      <c r="J285" t="s">
        <v>22</v>
      </c>
      <c r="K285" t="s">
        <v>16</v>
      </c>
    </row>
    <row r="286" spans="2:11" x14ac:dyDescent="0.25">
      <c r="B286">
        <v>282</v>
      </c>
      <c r="C286" s="1">
        <v>44697</v>
      </c>
      <c r="D286" t="s">
        <v>14</v>
      </c>
      <c r="E286" t="s">
        <v>11</v>
      </c>
      <c r="F286">
        <v>20</v>
      </c>
      <c r="G286">
        <v>13</v>
      </c>
      <c r="H286">
        <v>260</v>
      </c>
      <c r="J286" t="s">
        <v>22</v>
      </c>
      <c r="K286" t="s">
        <v>23</v>
      </c>
    </row>
    <row r="287" spans="2:11" x14ac:dyDescent="0.25">
      <c r="B287">
        <v>283</v>
      </c>
      <c r="C287" s="1">
        <v>44744</v>
      </c>
      <c r="D287" t="s">
        <v>21</v>
      </c>
      <c r="E287" t="s">
        <v>11</v>
      </c>
      <c r="F287">
        <v>20</v>
      </c>
      <c r="G287">
        <v>2</v>
      </c>
      <c r="H287">
        <v>40</v>
      </c>
      <c r="I287" t="s">
        <v>15</v>
      </c>
      <c r="J287" t="s">
        <v>22</v>
      </c>
      <c r="K287" t="s">
        <v>26</v>
      </c>
    </row>
    <row r="288" spans="2:11" x14ac:dyDescent="0.25">
      <c r="B288">
        <v>284</v>
      </c>
      <c r="C288" s="1">
        <v>44955</v>
      </c>
      <c r="D288" t="s">
        <v>24</v>
      </c>
      <c r="E288" t="s">
        <v>11</v>
      </c>
      <c r="F288">
        <v>50</v>
      </c>
      <c r="G288">
        <v>7</v>
      </c>
      <c r="H288">
        <v>350</v>
      </c>
      <c r="J288" t="s">
        <v>12</v>
      </c>
      <c r="K288" t="s">
        <v>16</v>
      </c>
    </row>
    <row r="289" spans="2:11" x14ac:dyDescent="0.25">
      <c r="B289">
        <v>285</v>
      </c>
      <c r="C289" s="1">
        <v>44740</v>
      </c>
      <c r="D289" t="s">
        <v>10</v>
      </c>
      <c r="E289" t="s">
        <v>11</v>
      </c>
      <c r="F289">
        <v>20</v>
      </c>
      <c r="G289">
        <v>3</v>
      </c>
      <c r="H289">
        <v>60</v>
      </c>
      <c r="J289" t="s">
        <v>12</v>
      </c>
      <c r="K289" t="s">
        <v>13</v>
      </c>
    </row>
    <row r="290" spans="2:11" x14ac:dyDescent="0.25">
      <c r="B290">
        <v>286</v>
      </c>
      <c r="C290" s="1">
        <v>44909</v>
      </c>
      <c r="D290" t="s">
        <v>14</v>
      </c>
      <c r="E290" t="s">
        <v>11</v>
      </c>
      <c r="F290">
        <v>20</v>
      </c>
      <c r="G290">
        <v>6</v>
      </c>
      <c r="H290">
        <v>120</v>
      </c>
      <c r="J290" t="s">
        <v>12</v>
      </c>
      <c r="K290" t="s">
        <v>13</v>
      </c>
    </row>
    <row r="291" spans="2:11" x14ac:dyDescent="0.25">
      <c r="B291">
        <v>287</v>
      </c>
      <c r="C291" s="1">
        <v>44779</v>
      </c>
      <c r="D291" t="s">
        <v>10</v>
      </c>
      <c r="E291" t="s">
        <v>11</v>
      </c>
      <c r="F291">
        <v>20</v>
      </c>
      <c r="G291">
        <v>3</v>
      </c>
      <c r="H291">
        <v>60</v>
      </c>
      <c r="I291" t="s">
        <v>15</v>
      </c>
      <c r="J291" t="s">
        <v>12</v>
      </c>
      <c r="K291" t="s">
        <v>23</v>
      </c>
    </row>
    <row r="292" spans="2:11" x14ac:dyDescent="0.25">
      <c r="B292">
        <v>288</v>
      </c>
      <c r="C292" s="1">
        <v>44795</v>
      </c>
      <c r="D292" t="s">
        <v>25</v>
      </c>
      <c r="E292" t="s">
        <v>11</v>
      </c>
      <c r="F292">
        <v>60</v>
      </c>
      <c r="G292">
        <v>7</v>
      </c>
      <c r="H292">
        <v>420</v>
      </c>
      <c r="I292" t="s">
        <v>15</v>
      </c>
      <c r="J292" t="s">
        <v>12</v>
      </c>
      <c r="K292" t="s">
        <v>13</v>
      </c>
    </row>
    <row r="293" spans="2:11" x14ac:dyDescent="0.25">
      <c r="B293">
        <v>289</v>
      </c>
      <c r="C293" s="1">
        <v>44893</v>
      </c>
      <c r="D293" t="s">
        <v>10</v>
      </c>
      <c r="E293" t="s">
        <v>11</v>
      </c>
      <c r="F293">
        <v>20</v>
      </c>
      <c r="G293">
        <v>7</v>
      </c>
      <c r="H293">
        <v>140</v>
      </c>
      <c r="I293" t="s">
        <v>19</v>
      </c>
      <c r="J293" t="s">
        <v>22</v>
      </c>
      <c r="K293" t="s">
        <v>26</v>
      </c>
    </row>
    <row r="294" spans="2:11" x14ac:dyDescent="0.25">
      <c r="B294">
        <v>290</v>
      </c>
      <c r="C294" s="1">
        <v>44684</v>
      </c>
      <c r="D294" t="s">
        <v>21</v>
      </c>
      <c r="E294" t="s">
        <v>11</v>
      </c>
      <c r="F294">
        <v>20</v>
      </c>
      <c r="G294">
        <v>7</v>
      </c>
      <c r="H294">
        <v>140</v>
      </c>
      <c r="I294" t="s">
        <v>15</v>
      </c>
      <c r="J294" t="s">
        <v>22</v>
      </c>
      <c r="K294" t="s">
        <v>23</v>
      </c>
    </row>
    <row r="295" spans="2:11" x14ac:dyDescent="0.25">
      <c r="B295">
        <v>291</v>
      </c>
      <c r="C295" s="1">
        <v>44953</v>
      </c>
      <c r="D295" t="s">
        <v>24</v>
      </c>
      <c r="E295" t="s">
        <v>11</v>
      </c>
      <c r="F295">
        <v>50</v>
      </c>
      <c r="G295">
        <v>8</v>
      </c>
      <c r="H295">
        <v>400</v>
      </c>
      <c r="I295" t="s">
        <v>19</v>
      </c>
      <c r="J295" t="s">
        <v>22</v>
      </c>
      <c r="K295" t="s">
        <v>13</v>
      </c>
    </row>
    <row r="296" spans="2:11" x14ac:dyDescent="0.25">
      <c r="B296">
        <v>292</v>
      </c>
      <c r="C296" s="1">
        <v>44942</v>
      </c>
      <c r="D296" t="s">
        <v>24</v>
      </c>
      <c r="E296" t="s">
        <v>11</v>
      </c>
      <c r="F296">
        <v>50</v>
      </c>
      <c r="G296">
        <v>2</v>
      </c>
      <c r="H296">
        <v>100</v>
      </c>
      <c r="I296" t="s">
        <v>15</v>
      </c>
      <c r="J296" t="s">
        <v>22</v>
      </c>
      <c r="K296" t="s">
        <v>26</v>
      </c>
    </row>
    <row r="297" spans="2:11" x14ac:dyDescent="0.25">
      <c r="B297">
        <v>293</v>
      </c>
      <c r="C297" s="1">
        <v>44672</v>
      </c>
      <c r="D297" t="s">
        <v>21</v>
      </c>
      <c r="E297" t="s">
        <v>11</v>
      </c>
      <c r="F297">
        <v>20</v>
      </c>
      <c r="G297">
        <v>8</v>
      </c>
      <c r="H297">
        <v>160</v>
      </c>
      <c r="I297" t="s">
        <v>19</v>
      </c>
      <c r="J297" t="s">
        <v>22</v>
      </c>
      <c r="K297" t="s">
        <v>23</v>
      </c>
    </row>
    <row r="298" spans="2:11" x14ac:dyDescent="0.25">
      <c r="B298">
        <v>294</v>
      </c>
      <c r="C298" s="1">
        <v>44827</v>
      </c>
      <c r="D298" t="s">
        <v>10</v>
      </c>
      <c r="E298" t="s">
        <v>11</v>
      </c>
      <c r="F298">
        <v>20</v>
      </c>
      <c r="G298">
        <v>1</v>
      </c>
      <c r="H298">
        <v>20</v>
      </c>
      <c r="I298" t="s">
        <v>15</v>
      </c>
      <c r="J298" t="s">
        <v>22</v>
      </c>
      <c r="K298" t="s">
        <v>20</v>
      </c>
    </row>
    <row r="299" spans="2:11" x14ac:dyDescent="0.25">
      <c r="B299">
        <v>295</v>
      </c>
      <c r="C299" s="1">
        <v>44763</v>
      </c>
      <c r="D299" t="s">
        <v>25</v>
      </c>
      <c r="E299" t="s">
        <v>11</v>
      </c>
      <c r="F299">
        <v>60</v>
      </c>
      <c r="G299">
        <v>7</v>
      </c>
      <c r="H299">
        <v>420</v>
      </c>
      <c r="I299" t="s">
        <v>15</v>
      </c>
      <c r="J299" t="s">
        <v>12</v>
      </c>
      <c r="K299" t="s">
        <v>26</v>
      </c>
    </row>
    <row r="300" spans="2:11" x14ac:dyDescent="0.25">
      <c r="B300">
        <v>296</v>
      </c>
      <c r="C300" s="1">
        <v>44963</v>
      </c>
      <c r="D300" t="s">
        <v>21</v>
      </c>
      <c r="E300" t="s">
        <v>11</v>
      </c>
      <c r="F300">
        <v>20</v>
      </c>
      <c r="G300">
        <v>7</v>
      </c>
      <c r="H300">
        <v>140</v>
      </c>
      <c r="I300" t="s">
        <v>15</v>
      </c>
      <c r="J300" t="s">
        <v>22</v>
      </c>
      <c r="K300" t="s">
        <v>16</v>
      </c>
    </row>
    <row r="301" spans="2:11" x14ac:dyDescent="0.25">
      <c r="B301">
        <v>297</v>
      </c>
      <c r="C301" s="1">
        <v>44681</v>
      </c>
      <c r="D301" t="s">
        <v>25</v>
      </c>
      <c r="E301" t="s">
        <v>11</v>
      </c>
      <c r="F301">
        <v>60</v>
      </c>
      <c r="G301">
        <v>10</v>
      </c>
      <c r="H301">
        <v>600</v>
      </c>
      <c r="I301" t="s">
        <v>19</v>
      </c>
      <c r="J301" t="s">
        <v>12</v>
      </c>
      <c r="K301" t="s">
        <v>20</v>
      </c>
    </row>
    <row r="302" spans="2:11" x14ac:dyDescent="0.25">
      <c r="B302">
        <v>298</v>
      </c>
      <c r="C302" s="1">
        <v>44761</v>
      </c>
      <c r="D302" t="s">
        <v>17</v>
      </c>
      <c r="E302" t="s">
        <v>18</v>
      </c>
      <c r="F302">
        <v>25</v>
      </c>
      <c r="G302">
        <v>9</v>
      </c>
      <c r="H302">
        <v>225</v>
      </c>
      <c r="I302" t="s">
        <v>15</v>
      </c>
      <c r="J302" t="s">
        <v>22</v>
      </c>
      <c r="K302" t="s">
        <v>16</v>
      </c>
    </row>
    <row r="303" spans="2:11" x14ac:dyDescent="0.25">
      <c r="B303">
        <v>299</v>
      </c>
      <c r="C303" s="1">
        <v>44764</v>
      </c>
      <c r="D303" t="s">
        <v>10</v>
      </c>
      <c r="E303" t="s">
        <v>11</v>
      </c>
      <c r="F303">
        <v>20</v>
      </c>
      <c r="G303">
        <v>1</v>
      </c>
      <c r="H303">
        <v>20</v>
      </c>
      <c r="I303" t="s">
        <v>19</v>
      </c>
      <c r="J303" t="s">
        <v>22</v>
      </c>
      <c r="K303" t="s">
        <v>20</v>
      </c>
    </row>
    <row r="304" spans="2:11" x14ac:dyDescent="0.25">
      <c r="B304">
        <v>300</v>
      </c>
      <c r="C304" s="1">
        <v>44739</v>
      </c>
      <c r="D304" t="s">
        <v>10</v>
      </c>
      <c r="E304" t="s">
        <v>11</v>
      </c>
      <c r="F304">
        <v>20</v>
      </c>
      <c r="G304">
        <v>8</v>
      </c>
      <c r="H304">
        <v>160</v>
      </c>
      <c r="I304" t="s">
        <v>15</v>
      </c>
      <c r="J304" t="s">
        <v>12</v>
      </c>
      <c r="K304" t="s">
        <v>16</v>
      </c>
    </row>
    <row r="305" spans="2:11" x14ac:dyDescent="0.25">
      <c r="B305">
        <v>301</v>
      </c>
      <c r="C305" s="1">
        <v>44954</v>
      </c>
      <c r="D305" t="s">
        <v>21</v>
      </c>
      <c r="E305" t="s">
        <v>11</v>
      </c>
      <c r="F305">
        <v>20</v>
      </c>
      <c r="G305">
        <v>7</v>
      </c>
      <c r="H305">
        <v>140</v>
      </c>
      <c r="I305" t="s">
        <v>15</v>
      </c>
      <c r="J305" t="s">
        <v>12</v>
      </c>
      <c r="K305" t="s">
        <v>13</v>
      </c>
    </row>
    <row r="306" spans="2:11" x14ac:dyDescent="0.25">
      <c r="B306">
        <v>302</v>
      </c>
      <c r="C306" s="1">
        <v>45006</v>
      </c>
      <c r="D306" t="s">
        <v>10</v>
      </c>
      <c r="E306" t="s">
        <v>11</v>
      </c>
      <c r="F306">
        <v>20</v>
      </c>
      <c r="G306">
        <v>14</v>
      </c>
      <c r="H306">
        <v>280</v>
      </c>
      <c r="I306" t="s">
        <v>15</v>
      </c>
      <c r="J306" t="s">
        <v>12</v>
      </c>
      <c r="K306" t="s">
        <v>13</v>
      </c>
    </row>
    <row r="307" spans="2:11" x14ac:dyDescent="0.25">
      <c r="B307">
        <v>303</v>
      </c>
      <c r="C307" s="1">
        <v>44744</v>
      </c>
      <c r="D307" t="s">
        <v>17</v>
      </c>
      <c r="E307" t="s">
        <v>18</v>
      </c>
      <c r="F307">
        <v>25</v>
      </c>
      <c r="G307">
        <v>1</v>
      </c>
      <c r="H307">
        <v>25</v>
      </c>
      <c r="I307" t="s">
        <v>15</v>
      </c>
      <c r="J307" t="s">
        <v>22</v>
      </c>
      <c r="K307" t="s">
        <v>26</v>
      </c>
    </row>
    <row r="308" spans="2:11" x14ac:dyDescent="0.25">
      <c r="B308">
        <v>304</v>
      </c>
      <c r="C308" s="1">
        <v>44709</v>
      </c>
      <c r="D308" t="s">
        <v>14</v>
      </c>
      <c r="E308" t="s">
        <v>11</v>
      </c>
      <c r="F308">
        <v>20</v>
      </c>
      <c r="G308">
        <v>15</v>
      </c>
      <c r="H308">
        <v>300</v>
      </c>
      <c r="I308" t="s">
        <v>19</v>
      </c>
      <c r="J308" t="s">
        <v>12</v>
      </c>
      <c r="K308" t="s">
        <v>23</v>
      </c>
    </row>
    <row r="309" spans="2:11" x14ac:dyDescent="0.25">
      <c r="B309">
        <v>305</v>
      </c>
      <c r="C309" s="1">
        <v>44990</v>
      </c>
      <c r="D309" t="s">
        <v>21</v>
      </c>
      <c r="E309" t="s">
        <v>11</v>
      </c>
      <c r="F309">
        <v>20</v>
      </c>
      <c r="G309">
        <v>4</v>
      </c>
      <c r="H309">
        <v>80</v>
      </c>
      <c r="J309" t="s">
        <v>22</v>
      </c>
      <c r="K309" t="s">
        <v>23</v>
      </c>
    </row>
    <row r="310" spans="2:11" x14ac:dyDescent="0.25">
      <c r="B310">
        <v>306</v>
      </c>
      <c r="C310" s="1">
        <v>44988</v>
      </c>
      <c r="D310" t="s">
        <v>27</v>
      </c>
      <c r="E310" t="s">
        <v>18</v>
      </c>
      <c r="F310">
        <v>40</v>
      </c>
      <c r="G310">
        <v>8</v>
      </c>
      <c r="H310">
        <v>320</v>
      </c>
      <c r="I310" t="s">
        <v>19</v>
      </c>
      <c r="J310" t="s">
        <v>22</v>
      </c>
      <c r="K310" t="s">
        <v>23</v>
      </c>
    </row>
    <row r="311" spans="2:11" x14ac:dyDescent="0.25">
      <c r="B311">
        <v>307</v>
      </c>
      <c r="C311" s="1">
        <v>44970</v>
      </c>
      <c r="D311" t="s">
        <v>14</v>
      </c>
      <c r="E311" t="s">
        <v>11</v>
      </c>
      <c r="F311">
        <v>20</v>
      </c>
      <c r="G311">
        <v>8</v>
      </c>
      <c r="H311">
        <v>160</v>
      </c>
      <c r="I311" t="s">
        <v>15</v>
      </c>
      <c r="J311" t="s">
        <v>12</v>
      </c>
      <c r="K311" t="s">
        <v>20</v>
      </c>
    </row>
    <row r="312" spans="2:11" x14ac:dyDescent="0.25">
      <c r="B312">
        <v>308</v>
      </c>
      <c r="C312" s="1">
        <v>44912</v>
      </c>
      <c r="D312" t="s">
        <v>25</v>
      </c>
      <c r="E312" t="s">
        <v>11</v>
      </c>
      <c r="F312">
        <v>60</v>
      </c>
      <c r="G312">
        <v>13</v>
      </c>
      <c r="H312">
        <v>780</v>
      </c>
      <c r="I312" t="s">
        <v>19</v>
      </c>
      <c r="J312" t="s">
        <v>12</v>
      </c>
      <c r="K312" t="s">
        <v>20</v>
      </c>
    </row>
    <row r="313" spans="2:11" x14ac:dyDescent="0.25">
      <c r="B313">
        <v>309</v>
      </c>
      <c r="C313" s="1">
        <v>44848</v>
      </c>
      <c r="D313" t="s">
        <v>25</v>
      </c>
      <c r="E313" t="s">
        <v>11</v>
      </c>
      <c r="F313">
        <v>60</v>
      </c>
      <c r="G313">
        <v>8</v>
      </c>
      <c r="H313">
        <v>480</v>
      </c>
      <c r="I313" t="s">
        <v>19</v>
      </c>
      <c r="J313" t="s">
        <v>12</v>
      </c>
      <c r="K313" t="s">
        <v>20</v>
      </c>
    </row>
    <row r="314" spans="2:11" x14ac:dyDescent="0.25">
      <c r="B314">
        <v>310</v>
      </c>
      <c r="C314" s="1">
        <v>44676</v>
      </c>
      <c r="D314" t="s">
        <v>14</v>
      </c>
      <c r="E314" t="s">
        <v>11</v>
      </c>
      <c r="F314">
        <v>20</v>
      </c>
      <c r="G314">
        <v>4</v>
      </c>
      <c r="H314">
        <v>80</v>
      </c>
      <c r="I314" t="s">
        <v>15</v>
      </c>
      <c r="J314" t="s">
        <v>12</v>
      </c>
      <c r="K314" t="s">
        <v>16</v>
      </c>
    </row>
    <row r="315" spans="2:11" x14ac:dyDescent="0.25">
      <c r="B315">
        <v>311</v>
      </c>
      <c r="C315" s="1">
        <v>44773</v>
      </c>
      <c r="D315" t="s">
        <v>24</v>
      </c>
      <c r="E315" t="s">
        <v>11</v>
      </c>
      <c r="F315">
        <v>50</v>
      </c>
      <c r="G315">
        <v>7</v>
      </c>
      <c r="H315">
        <v>350</v>
      </c>
      <c r="J315" t="s">
        <v>22</v>
      </c>
      <c r="K315" t="s">
        <v>23</v>
      </c>
    </row>
    <row r="316" spans="2:11" x14ac:dyDescent="0.25">
      <c r="B316">
        <v>312</v>
      </c>
      <c r="C316" s="1">
        <v>44923</v>
      </c>
      <c r="D316" t="s">
        <v>27</v>
      </c>
      <c r="E316" t="s">
        <v>18</v>
      </c>
      <c r="F316">
        <v>40</v>
      </c>
      <c r="G316">
        <v>1</v>
      </c>
      <c r="H316">
        <v>40</v>
      </c>
      <c r="I316" t="s">
        <v>15</v>
      </c>
      <c r="J316" t="s">
        <v>22</v>
      </c>
      <c r="K316" t="s">
        <v>13</v>
      </c>
    </row>
    <row r="317" spans="2:11" x14ac:dyDescent="0.25">
      <c r="B317">
        <v>313</v>
      </c>
      <c r="C317" s="1">
        <v>44670</v>
      </c>
      <c r="D317" t="s">
        <v>27</v>
      </c>
      <c r="E317" t="s">
        <v>18</v>
      </c>
      <c r="F317">
        <v>40</v>
      </c>
      <c r="G317">
        <v>1</v>
      </c>
      <c r="H317">
        <v>40</v>
      </c>
      <c r="I317" t="s">
        <v>15</v>
      </c>
      <c r="J317" t="s">
        <v>12</v>
      </c>
      <c r="K317" t="s">
        <v>26</v>
      </c>
    </row>
    <row r="318" spans="2:11" x14ac:dyDescent="0.25">
      <c r="B318">
        <v>314</v>
      </c>
      <c r="C318" s="1">
        <v>44984</v>
      </c>
      <c r="D318" t="s">
        <v>24</v>
      </c>
      <c r="E318" t="s">
        <v>11</v>
      </c>
      <c r="F318">
        <v>50</v>
      </c>
      <c r="G318">
        <v>8</v>
      </c>
      <c r="H318">
        <v>400</v>
      </c>
      <c r="I318" t="s">
        <v>19</v>
      </c>
      <c r="J318" t="s">
        <v>22</v>
      </c>
      <c r="K318" t="s">
        <v>23</v>
      </c>
    </row>
    <row r="319" spans="2:11" x14ac:dyDescent="0.25">
      <c r="B319">
        <v>315</v>
      </c>
      <c r="C319" s="1">
        <v>44977</v>
      </c>
      <c r="D319" t="s">
        <v>27</v>
      </c>
      <c r="E319" t="s">
        <v>18</v>
      </c>
      <c r="F319">
        <v>40</v>
      </c>
      <c r="G319">
        <v>13</v>
      </c>
      <c r="H319">
        <v>520</v>
      </c>
      <c r="I319" t="s">
        <v>19</v>
      </c>
      <c r="J319" t="s">
        <v>22</v>
      </c>
      <c r="K319" t="s">
        <v>16</v>
      </c>
    </row>
    <row r="320" spans="2:11" x14ac:dyDescent="0.25">
      <c r="B320">
        <v>316</v>
      </c>
      <c r="C320" s="1">
        <v>44867</v>
      </c>
      <c r="D320" t="s">
        <v>24</v>
      </c>
      <c r="E320" t="s">
        <v>11</v>
      </c>
      <c r="F320">
        <v>50</v>
      </c>
      <c r="G320">
        <v>4</v>
      </c>
      <c r="H320">
        <v>200</v>
      </c>
      <c r="I320" t="s">
        <v>19</v>
      </c>
      <c r="J320" t="s">
        <v>12</v>
      </c>
      <c r="K320" t="s">
        <v>23</v>
      </c>
    </row>
    <row r="321" spans="2:11" x14ac:dyDescent="0.25">
      <c r="B321">
        <v>317</v>
      </c>
      <c r="C321" s="1">
        <v>44995</v>
      </c>
      <c r="D321" t="s">
        <v>10</v>
      </c>
      <c r="E321" t="s">
        <v>11</v>
      </c>
      <c r="F321">
        <v>20</v>
      </c>
      <c r="G321">
        <v>12</v>
      </c>
      <c r="H321">
        <v>240</v>
      </c>
      <c r="I321" t="s">
        <v>19</v>
      </c>
      <c r="J321" t="s">
        <v>22</v>
      </c>
      <c r="K321" t="s">
        <v>16</v>
      </c>
    </row>
    <row r="322" spans="2:11" x14ac:dyDescent="0.25">
      <c r="B322">
        <v>318</v>
      </c>
      <c r="C322" s="1">
        <v>44916</v>
      </c>
      <c r="D322" t="s">
        <v>10</v>
      </c>
      <c r="E322" t="s">
        <v>11</v>
      </c>
      <c r="F322">
        <v>20</v>
      </c>
      <c r="G322">
        <v>10</v>
      </c>
      <c r="H322">
        <v>200</v>
      </c>
      <c r="I322" t="s">
        <v>19</v>
      </c>
      <c r="J322" t="s">
        <v>22</v>
      </c>
      <c r="K322" t="s">
        <v>26</v>
      </c>
    </row>
    <row r="323" spans="2:11" x14ac:dyDescent="0.25">
      <c r="B323">
        <v>319</v>
      </c>
      <c r="C323" s="1">
        <v>44742</v>
      </c>
      <c r="D323" t="s">
        <v>24</v>
      </c>
      <c r="E323" t="s">
        <v>11</v>
      </c>
      <c r="F323">
        <v>50</v>
      </c>
      <c r="G323">
        <v>15</v>
      </c>
      <c r="H323">
        <v>750</v>
      </c>
      <c r="I323" t="s">
        <v>15</v>
      </c>
      <c r="J323" t="s">
        <v>12</v>
      </c>
      <c r="K323" t="s">
        <v>16</v>
      </c>
    </row>
    <row r="324" spans="2:11" x14ac:dyDescent="0.25">
      <c r="B324">
        <v>320</v>
      </c>
      <c r="C324" s="1">
        <v>45003</v>
      </c>
      <c r="D324" t="s">
        <v>17</v>
      </c>
      <c r="E324" t="s">
        <v>18</v>
      </c>
      <c r="F324">
        <v>25</v>
      </c>
      <c r="G324">
        <v>7</v>
      </c>
      <c r="H324">
        <v>175</v>
      </c>
      <c r="I324" t="s">
        <v>15</v>
      </c>
      <c r="J324" t="s">
        <v>22</v>
      </c>
      <c r="K324" t="s">
        <v>16</v>
      </c>
    </row>
    <row r="325" spans="2:11" x14ac:dyDescent="0.25">
      <c r="B325">
        <v>321</v>
      </c>
      <c r="C325" s="1">
        <v>44965</v>
      </c>
      <c r="D325" t="s">
        <v>24</v>
      </c>
      <c r="E325" t="s">
        <v>11</v>
      </c>
      <c r="F325">
        <v>50</v>
      </c>
      <c r="G325">
        <v>12</v>
      </c>
      <c r="H325">
        <v>600</v>
      </c>
      <c r="I325" t="s">
        <v>15</v>
      </c>
      <c r="J325" t="s">
        <v>22</v>
      </c>
      <c r="K325" t="s">
        <v>20</v>
      </c>
    </row>
    <row r="326" spans="2:11" x14ac:dyDescent="0.25">
      <c r="B326">
        <v>322</v>
      </c>
      <c r="C326" s="1">
        <v>44686</v>
      </c>
      <c r="D326" t="s">
        <v>27</v>
      </c>
      <c r="E326" t="s">
        <v>18</v>
      </c>
      <c r="F326">
        <v>40</v>
      </c>
      <c r="G326">
        <v>11</v>
      </c>
      <c r="H326">
        <v>440</v>
      </c>
      <c r="I326" t="s">
        <v>15</v>
      </c>
      <c r="J326" t="s">
        <v>12</v>
      </c>
      <c r="K326" t="s">
        <v>23</v>
      </c>
    </row>
    <row r="327" spans="2:11" x14ac:dyDescent="0.25">
      <c r="B327">
        <v>323</v>
      </c>
      <c r="C327" s="1">
        <v>44924</v>
      </c>
      <c r="D327" t="s">
        <v>10</v>
      </c>
      <c r="E327" t="s">
        <v>11</v>
      </c>
      <c r="F327">
        <v>20</v>
      </c>
      <c r="G327">
        <v>4</v>
      </c>
      <c r="H327">
        <v>80</v>
      </c>
      <c r="I327" t="s">
        <v>15</v>
      </c>
      <c r="J327" t="s">
        <v>12</v>
      </c>
      <c r="K327" t="s">
        <v>23</v>
      </c>
    </row>
    <row r="328" spans="2:11" x14ac:dyDescent="0.25">
      <c r="B328">
        <v>324</v>
      </c>
      <c r="C328" s="1">
        <v>44760</v>
      </c>
      <c r="D328" t="s">
        <v>17</v>
      </c>
      <c r="E328" t="s">
        <v>18</v>
      </c>
      <c r="F328">
        <v>25</v>
      </c>
      <c r="G328">
        <v>15</v>
      </c>
      <c r="H328">
        <v>375</v>
      </c>
      <c r="I328" t="s">
        <v>19</v>
      </c>
      <c r="J328" t="s">
        <v>22</v>
      </c>
      <c r="K328" t="s">
        <v>13</v>
      </c>
    </row>
    <row r="329" spans="2:11" x14ac:dyDescent="0.25">
      <c r="B329">
        <v>325</v>
      </c>
      <c r="C329" s="1">
        <v>44987</v>
      </c>
      <c r="D329" t="s">
        <v>10</v>
      </c>
      <c r="E329" t="s">
        <v>11</v>
      </c>
      <c r="F329">
        <v>20</v>
      </c>
      <c r="G329">
        <v>12</v>
      </c>
      <c r="H329">
        <v>240</v>
      </c>
      <c r="J329" t="s">
        <v>22</v>
      </c>
      <c r="K329" t="s">
        <v>16</v>
      </c>
    </row>
    <row r="330" spans="2:11" x14ac:dyDescent="0.25">
      <c r="B330">
        <v>326</v>
      </c>
      <c r="C330" s="1">
        <v>44684</v>
      </c>
      <c r="D330" t="s">
        <v>25</v>
      </c>
      <c r="E330" t="s">
        <v>11</v>
      </c>
      <c r="F330">
        <v>60</v>
      </c>
      <c r="G330">
        <v>8</v>
      </c>
      <c r="H330">
        <v>480</v>
      </c>
      <c r="I330" t="s">
        <v>15</v>
      </c>
      <c r="J330" t="s">
        <v>12</v>
      </c>
      <c r="K330" t="s">
        <v>20</v>
      </c>
    </row>
    <row r="331" spans="2:11" x14ac:dyDescent="0.25">
      <c r="B331">
        <v>327</v>
      </c>
      <c r="C331" s="1">
        <v>44894</v>
      </c>
      <c r="D331" t="s">
        <v>24</v>
      </c>
      <c r="E331" t="s">
        <v>11</v>
      </c>
      <c r="F331">
        <v>50</v>
      </c>
      <c r="G331">
        <v>15</v>
      </c>
      <c r="H331">
        <v>750</v>
      </c>
      <c r="I331" t="s">
        <v>15</v>
      </c>
      <c r="J331" t="s">
        <v>22</v>
      </c>
      <c r="K331" t="s">
        <v>26</v>
      </c>
    </row>
    <row r="332" spans="2:11" x14ac:dyDescent="0.25">
      <c r="B332">
        <v>328</v>
      </c>
      <c r="C332" s="1">
        <v>44728</v>
      </c>
      <c r="D332" t="s">
        <v>14</v>
      </c>
      <c r="E332" t="s">
        <v>11</v>
      </c>
      <c r="F332">
        <v>20</v>
      </c>
      <c r="G332">
        <v>3</v>
      </c>
      <c r="H332">
        <v>60</v>
      </c>
      <c r="I332" t="s">
        <v>19</v>
      </c>
      <c r="J332" t="s">
        <v>12</v>
      </c>
      <c r="K332" t="s">
        <v>20</v>
      </c>
    </row>
    <row r="333" spans="2:11" x14ac:dyDescent="0.25">
      <c r="B333">
        <v>329</v>
      </c>
      <c r="C333" s="1">
        <v>44936</v>
      </c>
      <c r="D333" t="s">
        <v>21</v>
      </c>
      <c r="E333" t="s">
        <v>11</v>
      </c>
      <c r="F333">
        <v>20</v>
      </c>
      <c r="G333">
        <v>7</v>
      </c>
      <c r="H333">
        <v>140</v>
      </c>
      <c r="I333" t="s">
        <v>19</v>
      </c>
      <c r="J333" t="s">
        <v>22</v>
      </c>
      <c r="K333" t="s">
        <v>16</v>
      </c>
    </row>
    <row r="334" spans="2:11" x14ac:dyDescent="0.25">
      <c r="B334">
        <v>330</v>
      </c>
      <c r="C334" s="1">
        <v>44826</v>
      </c>
      <c r="D334" t="s">
        <v>21</v>
      </c>
      <c r="E334" t="s">
        <v>11</v>
      </c>
      <c r="F334">
        <v>20</v>
      </c>
      <c r="G334">
        <v>8</v>
      </c>
      <c r="H334">
        <v>160</v>
      </c>
      <c r="J334" t="s">
        <v>12</v>
      </c>
      <c r="K334" t="s">
        <v>23</v>
      </c>
    </row>
    <row r="335" spans="2:11" x14ac:dyDescent="0.25">
      <c r="B335">
        <v>331</v>
      </c>
      <c r="C335" s="1">
        <v>44794</v>
      </c>
      <c r="D335" t="s">
        <v>21</v>
      </c>
      <c r="E335" t="s">
        <v>11</v>
      </c>
      <c r="F335">
        <v>20</v>
      </c>
      <c r="G335">
        <v>4</v>
      </c>
      <c r="H335">
        <v>80</v>
      </c>
      <c r="I335" t="s">
        <v>19</v>
      </c>
      <c r="J335" t="s">
        <v>22</v>
      </c>
      <c r="K335" t="s">
        <v>20</v>
      </c>
    </row>
    <row r="336" spans="2:11" x14ac:dyDescent="0.25">
      <c r="B336">
        <v>332</v>
      </c>
      <c r="C336" s="1">
        <v>44974</v>
      </c>
      <c r="D336" t="s">
        <v>10</v>
      </c>
      <c r="E336" t="s">
        <v>11</v>
      </c>
      <c r="F336">
        <v>20</v>
      </c>
      <c r="G336">
        <v>2</v>
      </c>
      <c r="H336">
        <v>40</v>
      </c>
      <c r="J336" t="s">
        <v>22</v>
      </c>
      <c r="K336" t="s">
        <v>16</v>
      </c>
    </row>
    <row r="337" spans="2:11" x14ac:dyDescent="0.25">
      <c r="B337">
        <v>333</v>
      </c>
      <c r="C337" s="1">
        <v>44864</v>
      </c>
      <c r="D337" t="s">
        <v>17</v>
      </c>
      <c r="E337" t="s">
        <v>18</v>
      </c>
      <c r="F337">
        <v>25</v>
      </c>
      <c r="G337">
        <v>11</v>
      </c>
      <c r="H337">
        <v>275</v>
      </c>
      <c r="I337" t="s">
        <v>15</v>
      </c>
      <c r="J337" t="s">
        <v>22</v>
      </c>
      <c r="K337" t="s">
        <v>16</v>
      </c>
    </row>
    <row r="338" spans="2:11" x14ac:dyDescent="0.25">
      <c r="B338">
        <v>334</v>
      </c>
      <c r="C338" s="1">
        <v>44655</v>
      </c>
      <c r="D338" t="s">
        <v>27</v>
      </c>
      <c r="E338" t="s">
        <v>18</v>
      </c>
      <c r="F338">
        <v>40</v>
      </c>
      <c r="G338">
        <v>4</v>
      </c>
      <c r="H338">
        <v>160</v>
      </c>
      <c r="I338" t="s">
        <v>15</v>
      </c>
      <c r="J338" t="s">
        <v>22</v>
      </c>
      <c r="K338" t="s">
        <v>20</v>
      </c>
    </row>
    <row r="339" spans="2:11" x14ac:dyDescent="0.25">
      <c r="B339">
        <v>335</v>
      </c>
      <c r="C339" s="1">
        <v>44858</v>
      </c>
      <c r="D339" t="s">
        <v>27</v>
      </c>
      <c r="E339" t="s">
        <v>18</v>
      </c>
      <c r="F339">
        <v>40</v>
      </c>
      <c r="G339">
        <v>11</v>
      </c>
      <c r="H339">
        <v>440</v>
      </c>
      <c r="I339" t="s">
        <v>15</v>
      </c>
      <c r="J339" t="s">
        <v>12</v>
      </c>
      <c r="K339" t="s">
        <v>13</v>
      </c>
    </row>
    <row r="340" spans="2:11" x14ac:dyDescent="0.25">
      <c r="B340">
        <v>336</v>
      </c>
      <c r="C340" s="1">
        <v>44807</v>
      </c>
      <c r="D340" t="s">
        <v>17</v>
      </c>
      <c r="E340" t="s">
        <v>18</v>
      </c>
      <c r="F340">
        <v>25</v>
      </c>
      <c r="G340">
        <v>13</v>
      </c>
      <c r="H340">
        <v>325</v>
      </c>
      <c r="J340" t="s">
        <v>22</v>
      </c>
      <c r="K340" t="s">
        <v>26</v>
      </c>
    </row>
    <row r="341" spans="2:11" x14ac:dyDescent="0.25">
      <c r="B341">
        <v>337</v>
      </c>
      <c r="C341" s="1">
        <v>44849</v>
      </c>
      <c r="D341" t="s">
        <v>10</v>
      </c>
      <c r="E341" t="s">
        <v>11</v>
      </c>
      <c r="F341">
        <v>20</v>
      </c>
      <c r="G341">
        <v>14</v>
      </c>
      <c r="H341">
        <v>280</v>
      </c>
      <c r="I341" t="s">
        <v>19</v>
      </c>
      <c r="J341" t="s">
        <v>22</v>
      </c>
      <c r="K341" t="s">
        <v>26</v>
      </c>
    </row>
    <row r="342" spans="2:11" x14ac:dyDescent="0.25">
      <c r="B342">
        <v>338</v>
      </c>
      <c r="C342" s="1">
        <v>44687</v>
      </c>
      <c r="D342" t="s">
        <v>17</v>
      </c>
      <c r="E342" t="s">
        <v>18</v>
      </c>
      <c r="F342">
        <v>25</v>
      </c>
      <c r="G342">
        <v>12</v>
      </c>
      <c r="H342">
        <v>300</v>
      </c>
      <c r="I342" t="s">
        <v>15</v>
      </c>
      <c r="J342" t="s">
        <v>12</v>
      </c>
      <c r="K342" t="s">
        <v>23</v>
      </c>
    </row>
    <row r="343" spans="2:11" x14ac:dyDescent="0.25">
      <c r="B343">
        <v>339</v>
      </c>
      <c r="C343" s="1">
        <v>44973</v>
      </c>
      <c r="D343" t="s">
        <v>17</v>
      </c>
      <c r="E343" t="s">
        <v>18</v>
      </c>
      <c r="F343">
        <v>25</v>
      </c>
      <c r="G343">
        <v>1</v>
      </c>
      <c r="H343">
        <v>25</v>
      </c>
      <c r="J343" t="s">
        <v>22</v>
      </c>
      <c r="K343" t="s">
        <v>26</v>
      </c>
    </row>
    <row r="344" spans="2:11" x14ac:dyDescent="0.25">
      <c r="B344">
        <v>340</v>
      </c>
      <c r="C344" s="1">
        <v>44714</v>
      </c>
      <c r="D344" t="s">
        <v>27</v>
      </c>
      <c r="E344" t="s">
        <v>18</v>
      </c>
      <c r="F344">
        <v>40</v>
      </c>
      <c r="G344">
        <v>4</v>
      </c>
      <c r="H344">
        <v>160</v>
      </c>
      <c r="I344" t="s">
        <v>15</v>
      </c>
      <c r="J344" t="s">
        <v>22</v>
      </c>
      <c r="K344" t="s">
        <v>20</v>
      </c>
    </row>
    <row r="345" spans="2:11" x14ac:dyDescent="0.25">
      <c r="B345">
        <v>341</v>
      </c>
      <c r="C345" s="1">
        <v>45004</v>
      </c>
      <c r="D345" t="s">
        <v>24</v>
      </c>
      <c r="E345" t="s">
        <v>11</v>
      </c>
      <c r="F345">
        <v>50</v>
      </c>
      <c r="G345">
        <v>9</v>
      </c>
      <c r="H345">
        <v>450</v>
      </c>
      <c r="I345" t="s">
        <v>15</v>
      </c>
      <c r="J345" t="s">
        <v>22</v>
      </c>
      <c r="K345" t="s">
        <v>20</v>
      </c>
    </row>
    <row r="346" spans="2:11" x14ac:dyDescent="0.25">
      <c r="B346">
        <v>342</v>
      </c>
      <c r="C346" s="1">
        <v>44996</v>
      </c>
      <c r="D346" t="s">
        <v>14</v>
      </c>
      <c r="E346" t="s">
        <v>11</v>
      </c>
      <c r="F346">
        <v>20</v>
      </c>
      <c r="G346">
        <v>7</v>
      </c>
      <c r="H346">
        <v>140</v>
      </c>
      <c r="I346" t="s">
        <v>19</v>
      </c>
      <c r="J346" t="s">
        <v>12</v>
      </c>
      <c r="K346" t="s">
        <v>16</v>
      </c>
    </row>
    <row r="347" spans="2:11" x14ac:dyDescent="0.25">
      <c r="B347">
        <v>343</v>
      </c>
      <c r="C347" s="1">
        <v>44944</v>
      </c>
      <c r="D347" t="s">
        <v>17</v>
      </c>
      <c r="E347" t="s">
        <v>18</v>
      </c>
      <c r="F347">
        <v>25</v>
      </c>
      <c r="G347">
        <v>5</v>
      </c>
      <c r="H347">
        <v>125</v>
      </c>
      <c r="I347" t="s">
        <v>15</v>
      </c>
      <c r="J347" t="s">
        <v>12</v>
      </c>
      <c r="K347" t="s">
        <v>16</v>
      </c>
    </row>
    <row r="348" spans="2:11" x14ac:dyDescent="0.25">
      <c r="B348">
        <v>344</v>
      </c>
      <c r="C348" s="1">
        <v>44694</v>
      </c>
      <c r="D348" t="s">
        <v>27</v>
      </c>
      <c r="E348" t="s">
        <v>18</v>
      </c>
      <c r="F348">
        <v>40</v>
      </c>
      <c r="G348">
        <v>14</v>
      </c>
      <c r="H348">
        <v>560</v>
      </c>
      <c r="I348" t="s">
        <v>15</v>
      </c>
      <c r="J348" t="s">
        <v>12</v>
      </c>
      <c r="K348" t="s">
        <v>13</v>
      </c>
    </row>
    <row r="349" spans="2:11" x14ac:dyDescent="0.25">
      <c r="B349">
        <v>345</v>
      </c>
      <c r="C349" s="1">
        <v>44690</v>
      </c>
      <c r="D349" t="s">
        <v>21</v>
      </c>
      <c r="E349" t="s">
        <v>11</v>
      </c>
      <c r="F349">
        <v>20</v>
      </c>
      <c r="G349">
        <v>14</v>
      </c>
      <c r="H349">
        <v>280</v>
      </c>
      <c r="I349" t="s">
        <v>19</v>
      </c>
      <c r="J349" t="s">
        <v>22</v>
      </c>
      <c r="K349" t="s">
        <v>13</v>
      </c>
    </row>
    <row r="350" spans="2:11" x14ac:dyDescent="0.25">
      <c r="B350">
        <v>346</v>
      </c>
      <c r="C350" s="1">
        <v>44957</v>
      </c>
      <c r="D350" t="s">
        <v>27</v>
      </c>
      <c r="E350" t="s">
        <v>18</v>
      </c>
      <c r="F350">
        <v>40</v>
      </c>
      <c r="G350">
        <v>12</v>
      </c>
      <c r="H350">
        <v>480</v>
      </c>
      <c r="I350" t="s">
        <v>15</v>
      </c>
      <c r="J350" t="s">
        <v>12</v>
      </c>
      <c r="K350" t="s">
        <v>23</v>
      </c>
    </row>
    <row r="351" spans="2:11" x14ac:dyDescent="0.25">
      <c r="B351">
        <v>347</v>
      </c>
      <c r="C351" s="1">
        <v>44736</v>
      </c>
      <c r="D351" t="s">
        <v>24</v>
      </c>
      <c r="E351" t="s">
        <v>11</v>
      </c>
      <c r="F351">
        <v>50</v>
      </c>
      <c r="G351">
        <v>7</v>
      </c>
      <c r="H351">
        <v>350</v>
      </c>
      <c r="I351" t="s">
        <v>15</v>
      </c>
      <c r="J351" t="s">
        <v>22</v>
      </c>
      <c r="K351" t="s">
        <v>16</v>
      </c>
    </row>
    <row r="352" spans="2:11" x14ac:dyDescent="0.25">
      <c r="B352">
        <v>348</v>
      </c>
      <c r="C352" s="1">
        <v>44823</v>
      </c>
      <c r="D352" t="s">
        <v>14</v>
      </c>
      <c r="E352" t="s">
        <v>11</v>
      </c>
      <c r="F352">
        <v>20</v>
      </c>
      <c r="G352">
        <v>1</v>
      </c>
      <c r="H352">
        <v>20</v>
      </c>
      <c r="I352" t="s">
        <v>19</v>
      </c>
      <c r="J352" t="s">
        <v>22</v>
      </c>
      <c r="K352" t="s">
        <v>26</v>
      </c>
    </row>
    <row r="353" spans="2:11" x14ac:dyDescent="0.25">
      <c r="B353">
        <v>349</v>
      </c>
      <c r="C353" s="1">
        <v>44790</v>
      </c>
      <c r="D353" t="s">
        <v>21</v>
      </c>
      <c r="E353" t="s">
        <v>11</v>
      </c>
      <c r="F353">
        <v>20</v>
      </c>
      <c r="G353">
        <v>5</v>
      </c>
      <c r="H353">
        <v>100</v>
      </c>
      <c r="I353" t="s">
        <v>15</v>
      </c>
      <c r="J353" t="s">
        <v>22</v>
      </c>
      <c r="K353" t="s">
        <v>20</v>
      </c>
    </row>
    <row r="354" spans="2:11" x14ac:dyDescent="0.25">
      <c r="B354">
        <v>350</v>
      </c>
      <c r="C354" s="1">
        <v>44825</v>
      </c>
      <c r="D354" t="s">
        <v>27</v>
      </c>
      <c r="E354" t="s">
        <v>18</v>
      </c>
      <c r="F354">
        <v>40</v>
      </c>
      <c r="G354">
        <v>8</v>
      </c>
      <c r="H354">
        <v>320</v>
      </c>
      <c r="I354" t="s">
        <v>19</v>
      </c>
      <c r="J354" t="s">
        <v>22</v>
      </c>
      <c r="K354" t="s">
        <v>23</v>
      </c>
    </row>
    <row r="355" spans="2:11" x14ac:dyDescent="0.25">
      <c r="B355">
        <v>351</v>
      </c>
      <c r="C355" s="1">
        <v>44750</v>
      </c>
      <c r="D355" t="s">
        <v>24</v>
      </c>
      <c r="E355" t="s">
        <v>11</v>
      </c>
      <c r="F355">
        <v>50</v>
      </c>
      <c r="G355">
        <v>5</v>
      </c>
      <c r="H355">
        <v>250</v>
      </c>
      <c r="I355" t="s">
        <v>19</v>
      </c>
      <c r="J355" t="s">
        <v>22</v>
      </c>
      <c r="K355" t="s">
        <v>13</v>
      </c>
    </row>
    <row r="356" spans="2:11" x14ac:dyDescent="0.25">
      <c r="B356">
        <v>352</v>
      </c>
      <c r="C356" s="1">
        <v>44706</v>
      </c>
      <c r="D356" t="s">
        <v>24</v>
      </c>
      <c r="E356" t="s">
        <v>11</v>
      </c>
      <c r="F356">
        <v>50</v>
      </c>
      <c r="G356">
        <v>11</v>
      </c>
      <c r="H356">
        <v>550</v>
      </c>
      <c r="I356" t="s">
        <v>15</v>
      </c>
      <c r="J356" t="s">
        <v>22</v>
      </c>
      <c r="K356" t="s">
        <v>13</v>
      </c>
    </row>
    <row r="357" spans="2:11" x14ac:dyDescent="0.25">
      <c r="B357">
        <v>353</v>
      </c>
      <c r="C357" s="1">
        <v>44699</v>
      </c>
      <c r="D357" t="s">
        <v>14</v>
      </c>
      <c r="E357" t="s">
        <v>11</v>
      </c>
      <c r="F357">
        <v>20</v>
      </c>
      <c r="G357">
        <v>4</v>
      </c>
      <c r="H357">
        <v>80</v>
      </c>
      <c r="I357" t="s">
        <v>19</v>
      </c>
      <c r="J357" t="s">
        <v>22</v>
      </c>
      <c r="K357" t="s">
        <v>26</v>
      </c>
    </row>
    <row r="358" spans="2:11" x14ac:dyDescent="0.25">
      <c r="B358">
        <v>354</v>
      </c>
      <c r="C358" s="1">
        <v>44942</v>
      </c>
      <c r="D358" t="s">
        <v>21</v>
      </c>
      <c r="E358" t="s">
        <v>11</v>
      </c>
      <c r="F358">
        <v>20</v>
      </c>
      <c r="G358">
        <v>14</v>
      </c>
      <c r="H358">
        <v>280</v>
      </c>
      <c r="I358" t="s">
        <v>19</v>
      </c>
      <c r="J358" t="s">
        <v>12</v>
      </c>
      <c r="K358" t="s">
        <v>26</v>
      </c>
    </row>
    <row r="359" spans="2:11" x14ac:dyDescent="0.25">
      <c r="B359">
        <v>355</v>
      </c>
      <c r="C359" s="1">
        <v>45000</v>
      </c>
      <c r="D359" t="s">
        <v>27</v>
      </c>
      <c r="E359" t="s">
        <v>18</v>
      </c>
      <c r="F359">
        <v>40</v>
      </c>
      <c r="G359">
        <v>4</v>
      </c>
      <c r="H359">
        <v>160</v>
      </c>
      <c r="I359" t="s">
        <v>19</v>
      </c>
      <c r="J359" t="s">
        <v>12</v>
      </c>
      <c r="K359" t="s">
        <v>26</v>
      </c>
    </row>
    <row r="360" spans="2:11" x14ac:dyDescent="0.25">
      <c r="B360">
        <v>356</v>
      </c>
      <c r="C360" s="1">
        <v>44707</v>
      </c>
      <c r="D360" t="s">
        <v>17</v>
      </c>
      <c r="E360" t="s">
        <v>18</v>
      </c>
      <c r="F360">
        <v>25</v>
      </c>
      <c r="G360">
        <v>14</v>
      </c>
      <c r="H360">
        <v>350</v>
      </c>
      <c r="I360" t="s">
        <v>15</v>
      </c>
      <c r="J360" t="s">
        <v>22</v>
      </c>
      <c r="K360" t="s">
        <v>13</v>
      </c>
    </row>
    <row r="361" spans="2:11" x14ac:dyDescent="0.25">
      <c r="B361">
        <v>357</v>
      </c>
      <c r="C361" s="1">
        <v>44825</v>
      </c>
      <c r="D361" t="s">
        <v>25</v>
      </c>
      <c r="E361" t="s">
        <v>11</v>
      </c>
      <c r="F361">
        <v>60</v>
      </c>
      <c r="G361">
        <v>9</v>
      </c>
      <c r="H361">
        <v>540</v>
      </c>
      <c r="I361" t="s">
        <v>19</v>
      </c>
      <c r="J361" t="s">
        <v>22</v>
      </c>
      <c r="K361" t="s">
        <v>16</v>
      </c>
    </row>
    <row r="362" spans="2:11" x14ac:dyDescent="0.25">
      <c r="B362">
        <v>358</v>
      </c>
      <c r="C362" s="1">
        <v>44861</v>
      </c>
      <c r="D362" t="s">
        <v>10</v>
      </c>
      <c r="E362" t="s">
        <v>11</v>
      </c>
      <c r="F362">
        <v>20</v>
      </c>
      <c r="G362">
        <v>6</v>
      </c>
      <c r="H362">
        <v>120</v>
      </c>
      <c r="I362" t="s">
        <v>15</v>
      </c>
      <c r="J362" t="s">
        <v>12</v>
      </c>
      <c r="K362" t="s">
        <v>13</v>
      </c>
    </row>
    <row r="363" spans="2:11" x14ac:dyDescent="0.25">
      <c r="B363">
        <v>359</v>
      </c>
      <c r="C363" s="1">
        <v>44800</v>
      </c>
      <c r="D363" t="s">
        <v>10</v>
      </c>
      <c r="E363" t="s">
        <v>11</v>
      </c>
      <c r="F363">
        <v>20</v>
      </c>
      <c r="G363">
        <v>13</v>
      </c>
      <c r="H363">
        <v>260</v>
      </c>
      <c r="I363" t="s">
        <v>19</v>
      </c>
      <c r="J363" t="s">
        <v>22</v>
      </c>
      <c r="K363" t="s">
        <v>13</v>
      </c>
    </row>
    <row r="364" spans="2:11" x14ac:dyDescent="0.25">
      <c r="B364">
        <v>360</v>
      </c>
      <c r="C364" s="1">
        <v>44840</v>
      </c>
      <c r="D364" t="s">
        <v>27</v>
      </c>
      <c r="E364" t="s">
        <v>18</v>
      </c>
      <c r="F364">
        <v>40</v>
      </c>
      <c r="G364">
        <v>2</v>
      </c>
      <c r="H364">
        <v>80</v>
      </c>
      <c r="I364" t="s">
        <v>19</v>
      </c>
      <c r="J364" t="s">
        <v>22</v>
      </c>
      <c r="K364" t="s">
        <v>26</v>
      </c>
    </row>
    <row r="365" spans="2:11" x14ac:dyDescent="0.25">
      <c r="B365">
        <v>361</v>
      </c>
      <c r="C365" s="1">
        <v>44742</v>
      </c>
      <c r="D365" t="s">
        <v>25</v>
      </c>
      <c r="E365" t="s">
        <v>11</v>
      </c>
      <c r="F365">
        <v>60</v>
      </c>
      <c r="G365">
        <v>15</v>
      </c>
      <c r="H365">
        <v>900</v>
      </c>
      <c r="J365" t="s">
        <v>22</v>
      </c>
      <c r="K365" t="s">
        <v>13</v>
      </c>
    </row>
    <row r="366" spans="2:11" x14ac:dyDescent="0.25">
      <c r="B366">
        <v>362</v>
      </c>
      <c r="C366" s="1">
        <v>44925</v>
      </c>
      <c r="D366" t="s">
        <v>17</v>
      </c>
      <c r="E366" t="s">
        <v>18</v>
      </c>
      <c r="F366">
        <v>25</v>
      </c>
      <c r="G366">
        <v>2</v>
      </c>
      <c r="H366">
        <v>50</v>
      </c>
      <c r="I366" t="s">
        <v>15</v>
      </c>
      <c r="J366" t="s">
        <v>12</v>
      </c>
      <c r="K366" t="s">
        <v>23</v>
      </c>
    </row>
    <row r="367" spans="2:11" x14ac:dyDescent="0.25">
      <c r="B367">
        <v>363</v>
      </c>
      <c r="C367" s="1">
        <v>44690</v>
      </c>
      <c r="D367" t="s">
        <v>24</v>
      </c>
      <c r="E367" t="s">
        <v>11</v>
      </c>
      <c r="F367">
        <v>50</v>
      </c>
      <c r="G367">
        <v>9</v>
      </c>
      <c r="H367">
        <v>450</v>
      </c>
      <c r="I367" t="s">
        <v>19</v>
      </c>
      <c r="J367" t="s">
        <v>12</v>
      </c>
      <c r="K367" t="s">
        <v>16</v>
      </c>
    </row>
    <row r="368" spans="2:11" x14ac:dyDescent="0.25">
      <c r="B368">
        <v>364</v>
      </c>
      <c r="C368" s="1">
        <v>44845</v>
      </c>
      <c r="D368" t="s">
        <v>27</v>
      </c>
      <c r="E368" t="s">
        <v>18</v>
      </c>
      <c r="F368">
        <v>40</v>
      </c>
      <c r="G368">
        <v>2</v>
      </c>
      <c r="H368">
        <v>80</v>
      </c>
      <c r="I368" t="s">
        <v>19</v>
      </c>
      <c r="J368" t="s">
        <v>12</v>
      </c>
      <c r="K368" t="s">
        <v>13</v>
      </c>
    </row>
    <row r="369" spans="2:11" x14ac:dyDescent="0.25">
      <c r="B369">
        <v>365</v>
      </c>
      <c r="C369" s="1">
        <v>44750</v>
      </c>
      <c r="D369" t="s">
        <v>21</v>
      </c>
      <c r="E369" t="s">
        <v>11</v>
      </c>
      <c r="F369">
        <v>20</v>
      </c>
      <c r="G369">
        <v>10</v>
      </c>
      <c r="H369">
        <v>200</v>
      </c>
      <c r="I369" t="s">
        <v>19</v>
      </c>
      <c r="J369" t="s">
        <v>12</v>
      </c>
      <c r="K369" t="s">
        <v>13</v>
      </c>
    </row>
    <row r="370" spans="2:11" x14ac:dyDescent="0.25">
      <c r="B370">
        <v>366</v>
      </c>
      <c r="C370" s="1">
        <v>44895</v>
      </c>
      <c r="D370" t="s">
        <v>17</v>
      </c>
      <c r="E370" t="s">
        <v>18</v>
      </c>
      <c r="F370">
        <v>25</v>
      </c>
      <c r="G370">
        <v>10</v>
      </c>
      <c r="H370">
        <v>250</v>
      </c>
      <c r="I370" t="s">
        <v>19</v>
      </c>
      <c r="J370" t="s">
        <v>22</v>
      </c>
      <c r="K370" t="s">
        <v>16</v>
      </c>
    </row>
    <row r="371" spans="2:11" x14ac:dyDescent="0.25">
      <c r="B371">
        <v>367</v>
      </c>
      <c r="C371" s="1">
        <v>44783</v>
      </c>
      <c r="D371" t="s">
        <v>21</v>
      </c>
      <c r="E371" t="s">
        <v>11</v>
      </c>
      <c r="F371">
        <v>20</v>
      </c>
      <c r="G371">
        <v>6</v>
      </c>
      <c r="H371">
        <v>120</v>
      </c>
      <c r="J371" t="s">
        <v>12</v>
      </c>
      <c r="K371" t="s">
        <v>16</v>
      </c>
    </row>
    <row r="372" spans="2:11" x14ac:dyDescent="0.25">
      <c r="B372">
        <v>368</v>
      </c>
      <c r="C372" s="1">
        <v>44804</v>
      </c>
      <c r="D372" t="s">
        <v>27</v>
      </c>
      <c r="E372" t="s">
        <v>18</v>
      </c>
      <c r="F372">
        <v>40</v>
      </c>
      <c r="G372">
        <v>2</v>
      </c>
      <c r="H372">
        <v>80</v>
      </c>
      <c r="I372" t="s">
        <v>15</v>
      </c>
      <c r="J372" t="s">
        <v>12</v>
      </c>
      <c r="K372" t="s">
        <v>13</v>
      </c>
    </row>
    <row r="373" spans="2:11" x14ac:dyDescent="0.25">
      <c r="B373">
        <v>369</v>
      </c>
      <c r="C373" s="1">
        <v>44745</v>
      </c>
      <c r="D373" t="s">
        <v>25</v>
      </c>
      <c r="E373" t="s">
        <v>11</v>
      </c>
      <c r="F373">
        <v>60</v>
      </c>
      <c r="G373">
        <v>2</v>
      </c>
      <c r="H373">
        <v>120</v>
      </c>
      <c r="I373" t="s">
        <v>19</v>
      </c>
      <c r="J373" t="s">
        <v>22</v>
      </c>
      <c r="K373" t="s">
        <v>20</v>
      </c>
    </row>
    <row r="374" spans="2:11" x14ac:dyDescent="0.25">
      <c r="B374">
        <v>370</v>
      </c>
      <c r="C374" s="1">
        <v>44709</v>
      </c>
      <c r="D374" t="s">
        <v>21</v>
      </c>
      <c r="E374" t="s">
        <v>11</v>
      </c>
      <c r="F374">
        <v>20</v>
      </c>
      <c r="G374">
        <v>5</v>
      </c>
      <c r="H374">
        <v>100</v>
      </c>
      <c r="J374" t="s">
        <v>22</v>
      </c>
      <c r="K374" t="s">
        <v>26</v>
      </c>
    </row>
    <row r="375" spans="2:11" x14ac:dyDescent="0.25">
      <c r="B375">
        <v>371</v>
      </c>
      <c r="C375" s="1">
        <v>44852</v>
      </c>
      <c r="D375" t="s">
        <v>14</v>
      </c>
      <c r="E375" t="s">
        <v>11</v>
      </c>
      <c r="F375">
        <v>20</v>
      </c>
      <c r="G375">
        <v>5</v>
      </c>
      <c r="H375">
        <v>100</v>
      </c>
      <c r="I375" t="s">
        <v>19</v>
      </c>
      <c r="J375" t="s">
        <v>22</v>
      </c>
      <c r="K375" t="s">
        <v>13</v>
      </c>
    </row>
    <row r="376" spans="2:11" x14ac:dyDescent="0.25">
      <c r="B376">
        <v>372</v>
      </c>
      <c r="C376" s="1">
        <v>44884</v>
      </c>
      <c r="D376" t="s">
        <v>24</v>
      </c>
      <c r="E376" t="s">
        <v>11</v>
      </c>
      <c r="F376">
        <v>50</v>
      </c>
      <c r="G376">
        <v>12</v>
      </c>
      <c r="H376">
        <v>600</v>
      </c>
      <c r="J376" t="s">
        <v>12</v>
      </c>
      <c r="K376" t="s">
        <v>23</v>
      </c>
    </row>
    <row r="377" spans="2:11" x14ac:dyDescent="0.25">
      <c r="B377">
        <v>373</v>
      </c>
      <c r="C377" s="1">
        <v>44689</v>
      </c>
      <c r="D377" t="s">
        <v>17</v>
      </c>
      <c r="E377" t="s">
        <v>18</v>
      </c>
      <c r="F377">
        <v>25</v>
      </c>
      <c r="G377">
        <v>12</v>
      </c>
      <c r="H377">
        <v>300</v>
      </c>
      <c r="I377" t="s">
        <v>15</v>
      </c>
      <c r="J377" t="s">
        <v>22</v>
      </c>
      <c r="K377" t="s">
        <v>26</v>
      </c>
    </row>
    <row r="378" spans="2:11" x14ac:dyDescent="0.25">
      <c r="B378">
        <v>374</v>
      </c>
      <c r="C378" s="1">
        <v>44766</v>
      </c>
      <c r="D378" t="s">
        <v>24</v>
      </c>
      <c r="E378" t="s">
        <v>11</v>
      </c>
      <c r="F378">
        <v>50</v>
      </c>
      <c r="G378">
        <v>10</v>
      </c>
      <c r="H378">
        <v>500</v>
      </c>
      <c r="I378" t="s">
        <v>19</v>
      </c>
      <c r="J378" t="s">
        <v>12</v>
      </c>
      <c r="K378" t="s">
        <v>26</v>
      </c>
    </row>
    <row r="379" spans="2:11" x14ac:dyDescent="0.25">
      <c r="B379">
        <v>375</v>
      </c>
      <c r="C379" s="1">
        <v>44882</v>
      </c>
      <c r="D379" t="s">
        <v>21</v>
      </c>
      <c r="E379" t="s">
        <v>11</v>
      </c>
      <c r="F379">
        <v>20</v>
      </c>
      <c r="G379">
        <v>13</v>
      </c>
      <c r="H379">
        <v>260</v>
      </c>
      <c r="I379" t="s">
        <v>15</v>
      </c>
      <c r="J379" t="s">
        <v>12</v>
      </c>
      <c r="K379" t="s">
        <v>20</v>
      </c>
    </row>
    <row r="380" spans="2:11" x14ac:dyDescent="0.25">
      <c r="B380">
        <v>376</v>
      </c>
      <c r="C380" s="1">
        <v>44899</v>
      </c>
      <c r="D380" t="s">
        <v>24</v>
      </c>
      <c r="E380" t="s">
        <v>11</v>
      </c>
      <c r="F380">
        <v>50</v>
      </c>
      <c r="G380">
        <v>15</v>
      </c>
      <c r="H380">
        <v>750</v>
      </c>
      <c r="I380" t="s">
        <v>15</v>
      </c>
      <c r="J380" t="s">
        <v>12</v>
      </c>
      <c r="K380" t="s">
        <v>26</v>
      </c>
    </row>
    <row r="381" spans="2:11" x14ac:dyDescent="0.25">
      <c r="B381">
        <v>377</v>
      </c>
      <c r="C381" s="1">
        <v>44701</v>
      </c>
      <c r="D381" t="s">
        <v>17</v>
      </c>
      <c r="E381" t="s">
        <v>18</v>
      </c>
      <c r="F381">
        <v>25</v>
      </c>
      <c r="G381">
        <v>3</v>
      </c>
      <c r="H381">
        <v>75</v>
      </c>
      <c r="I381" t="s">
        <v>19</v>
      </c>
      <c r="J381" t="s">
        <v>22</v>
      </c>
      <c r="K381" t="s">
        <v>20</v>
      </c>
    </row>
    <row r="382" spans="2:11" x14ac:dyDescent="0.25">
      <c r="B382">
        <v>378</v>
      </c>
      <c r="C382" s="1">
        <v>44675</v>
      </c>
      <c r="D382" t="s">
        <v>14</v>
      </c>
      <c r="E382" t="s">
        <v>11</v>
      </c>
      <c r="F382">
        <v>20</v>
      </c>
      <c r="G382">
        <v>2</v>
      </c>
      <c r="H382">
        <v>40</v>
      </c>
      <c r="I382" t="s">
        <v>15</v>
      </c>
      <c r="J382" t="s">
        <v>22</v>
      </c>
      <c r="K382" t="s">
        <v>26</v>
      </c>
    </row>
    <row r="383" spans="2:11" x14ac:dyDescent="0.25">
      <c r="B383">
        <v>379</v>
      </c>
      <c r="C383" s="1">
        <v>44972</v>
      </c>
      <c r="D383" t="s">
        <v>27</v>
      </c>
      <c r="E383" t="s">
        <v>18</v>
      </c>
      <c r="F383">
        <v>40</v>
      </c>
      <c r="G383">
        <v>14</v>
      </c>
      <c r="H383">
        <v>560</v>
      </c>
      <c r="J383" t="s">
        <v>12</v>
      </c>
      <c r="K383" t="s">
        <v>16</v>
      </c>
    </row>
    <row r="384" spans="2:11" x14ac:dyDescent="0.25">
      <c r="B384">
        <v>380</v>
      </c>
      <c r="C384" s="1">
        <v>44854</v>
      </c>
      <c r="D384" t="s">
        <v>25</v>
      </c>
      <c r="E384" t="s">
        <v>11</v>
      </c>
      <c r="F384">
        <v>60</v>
      </c>
      <c r="G384">
        <v>5</v>
      </c>
      <c r="H384">
        <v>300</v>
      </c>
      <c r="I384" t="s">
        <v>19</v>
      </c>
      <c r="J384" t="s">
        <v>22</v>
      </c>
      <c r="K384" t="s">
        <v>16</v>
      </c>
    </row>
    <row r="385" spans="2:11" x14ac:dyDescent="0.25">
      <c r="B385">
        <v>381</v>
      </c>
      <c r="C385" s="1">
        <v>44983</v>
      </c>
      <c r="D385" t="s">
        <v>14</v>
      </c>
      <c r="E385" t="s">
        <v>11</v>
      </c>
      <c r="F385">
        <v>20</v>
      </c>
      <c r="G385">
        <v>1</v>
      </c>
      <c r="H385">
        <v>20</v>
      </c>
      <c r="I385" t="s">
        <v>19</v>
      </c>
      <c r="J385" t="s">
        <v>12</v>
      </c>
      <c r="K385" t="s">
        <v>23</v>
      </c>
    </row>
    <row r="386" spans="2:11" x14ac:dyDescent="0.25">
      <c r="B386">
        <v>382</v>
      </c>
      <c r="C386" s="1">
        <v>44789</v>
      </c>
      <c r="D386" t="s">
        <v>27</v>
      </c>
      <c r="E386" t="s">
        <v>18</v>
      </c>
      <c r="F386">
        <v>40</v>
      </c>
      <c r="G386">
        <v>9</v>
      </c>
      <c r="H386">
        <v>360</v>
      </c>
      <c r="I386" t="s">
        <v>15</v>
      </c>
      <c r="J386" t="s">
        <v>22</v>
      </c>
      <c r="K386" t="s">
        <v>13</v>
      </c>
    </row>
    <row r="387" spans="2:11" x14ac:dyDescent="0.25">
      <c r="B387">
        <v>383</v>
      </c>
      <c r="C387" s="1">
        <v>44687</v>
      </c>
      <c r="D387" t="s">
        <v>10</v>
      </c>
      <c r="E387" t="s">
        <v>11</v>
      </c>
      <c r="F387">
        <v>20</v>
      </c>
      <c r="G387">
        <v>7</v>
      </c>
      <c r="H387">
        <v>140</v>
      </c>
      <c r="I387" t="s">
        <v>19</v>
      </c>
      <c r="J387" t="s">
        <v>22</v>
      </c>
      <c r="K387" t="s">
        <v>23</v>
      </c>
    </row>
    <row r="388" spans="2:11" x14ac:dyDescent="0.25">
      <c r="B388">
        <v>384</v>
      </c>
      <c r="C388" s="1">
        <v>44856</v>
      </c>
      <c r="D388" t="s">
        <v>17</v>
      </c>
      <c r="E388" t="s">
        <v>18</v>
      </c>
      <c r="F388">
        <v>25</v>
      </c>
      <c r="G388">
        <v>1</v>
      </c>
      <c r="H388">
        <v>25</v>
      </c>
      <c r="I388" t="s">
        <v>19</v>
      </c>
      <c r="J388" t="s">
        <v>12</v>
      </c>
      <c r="K388" t="s">
        <v>16</v>
      </c>
    </row>
    <row r="389" spans="2:11" x14ac:dyDescent="0.25">
      <c r="B389">
        <v>385</v>
      </c>
      <c r="C389" s="1">
        <v>44676</v>
      </c>
      <c r="D389" t="s">
        <v>14</v>
      </c>
      <c r="E389" t="s">
        <v>11</v>
      </c>
      <c r="F389">
        <v>20</v>
      </c>
      <c r="G389">
        <v>5</v>
      </c>
      <c r="H389">
        <v>100</v>
      </c>
      <c r="I389" t="s">
        <v>15</v>
      </c>
      <c r="J389" t="s">
        <v>12</v>
      </c>
      <c r="K389" t="s">
        <v>23</v>
      </c>
    </row>
    <row r="390" spans="2:11" x14ac:dyDescent="0.25">
      <c r="B390">
        <v>386</v>
      </c>
      <c r="C390" s="1">
        <v>44888</v>
      </c>
      <c r="D390" t="s">
        <v>24</v>
      </c>
      <c r="E390" t="s">
        <v>11</v>
      </c>
      <c r="F390">
        <v>50</v>
      </c>
      <c r="G390">
        <v>5</v>
      </c>
      <c r="H390">
        <v>250</v>
      </c>
      <c r="I390" t="s">
        <v>19</v>
      </c>
      <c r="J390" t="s">
        <v>12</v>
      </c>
      <c r="K390" t="s">
        <v>26</v>
      </c>
    </row>
    <row r="391" spans="2:11" x14ac:dyDescent="0.25">
      <c r="B391">
        <v>387</v>
      </c>
      <c r="C391" s="1">
        <v>45002</v>
      </c>
      <c r="D391" t="s">
        <v>17</v>
      </c>
      <c r="E391" t="s">
        <v>18</v>
      </c>
      <c r="F391">
        <v>25</v>
      </c>
      <c r="G391">
        <v>14</v>
      </c>
      <c r="H391">
        <v>350</v>
      </c>
      <c r="I391" t="s">
        <v>15</v>
      </c>
      <c r="J391" t="s">
        <v>22</v>
      </c>
      <c r="K391" t="s">
        <v>26</v>
      </c>
    </row>
    <row r="392" spans="2:11" x14ac:dyDescent="0.25">
      <c r="B392">
        <v>388</v>
      </c>
      <c r="C392" s="1">
        <v>44843</v>
      </c>
      <c r="D392" t="s">
        <v>25</v>
      </c>
      <c r="E392" t="s">
        <v>11</v>
      </c>
      <c r="F392">
        <v>60</v>
      </c>
      <c r="G392">
        <v>14</v>
      </c>
      <c r="H392">
        <v>840</v>
      </c>
      <c r="I392" t="s">
        <v>15</v>
      </c>
      <c r="J392" t="s">
        <v>12</v>
      </c>
      <c r="K392" t="s">
        <v>20</v>
      </c>
    </row>
    <row r="393" spans="2:11" x14ac:dyDescent="0.25">
      <c r="B393">
        <v>389</v>
      </c>
      <c r="C393" s="1">
        <v>44917</v>
      </c>
      <c r="D393" t="s">
        <v>25</v>
      </c>
      <c r="E393" t="s">
        <v>11</v>
      </c>
      <c r="F393">
        <v>60</v>
      </c>
      <c r="G393">
        <v>12</v>
      </c>
      <c r="H393">
        <v>720</v>
      </c>
      <c r="I393" t="s">
        <v>15</v>
      </c>
      <c r="J393" t="s">
        <v>22</v>
      </c>
      <c r="K393" t="s">
        <v>20</v>
      </c>
    </row>
    <row r="394" spans="2:11" x14ac:dyDescent="0.25">
      <c r="B394">
        <v>390</v>
      </c>
      <c r="C394" s="1">
        <v>44730</v>
      </c>
      <c r="D394" t="s">
        <v>17</v>
      </c>
      <c r="E394" t="s">
        <v>18</v>
      </c>
      <c r="F394">
        <v>25</v>
      </c>
      <c r="G394">
        <v>5</v>
      </c>
      <c r="H394">
        <v>125</v>
      </c>
      <c r="J394" t="s">
        <v>12</v>
      </c>
      <c r="K394" t="s">
        <v>26</v>
      </c>
    </row>
    <row r="395" spans="2:11" x14ac:dyDescent="0.25">
      <c r="B395">
        <v>391</v>
      </c>
      <c r="C395" s="1">
        <v>44672</v>
      </c>
      <c r="D395" t="s">
        <v>10</v>
      </c>
      <c r="E395" t="s">
        <v>11</v>
      </c>
      <c r="F395">
        <v>20</v>
      </c>
      <c r="G395">
        <v>1</v>
      </c>
      <c r="H395">
        <v>20</v>
      </c>
      <c r="I395" t="s">
        <v>19</v>
      </c>
      <c r="J395" t="s">
        <v>22</v>
      </c>
      <c r="K395" t="s">
        <v>13</v>
      </c>
    </row>
    <row r="396" spans="2:11" x14ac:dyDescent="0.25">
      <c r="B396">
        <v>392</v>
      </c>
      <c r="C396" s="1">
        <v>44822</v>
      </c>
      <c r="D396" t="s">
        <v>10</v>
      </c>
      <c r="E396" t="s">
        <v>11</v>
      </c>
      <c r="F396">
        <v>20</v>
      </c>
      <c r="G396">
        <v>15</v>
      </c>
      <c r="H396">
        <v>300</v>
      </c>
      <c r="I396" t="s">
        <v>19</v>
      </c>
      <c r="J396" t="s">
        <v>12</v>
      </c>
      <c r="K396" t="s">
        <v>13</v>
      </c>
    </row>
    <row r="397" spans="2:11" x14ac:dyDescent="0.25">
      <c r="B397">
        <v>393</v>
      </c>
      <c r="C397" s="1">
        <v>44744</v>
      </c>
      <c r="D397" t="s">
        <v>17</v>
      </c>
      <c r="E397" t="s">
        <v>18</v>
      </c>
      <c r="F397">
        <v>25</v>
      </c>
      <c r="G397">
        <v>10</v>
      </c>
      <c r="H397">
        <v>250</v>
      </c>
      <c r="I397" t="s">
        <v>19</v>
      </c>
      <c r="J397" t="s">
        <v>22</v>
      </c>
      <c r="K397" t="s">
        <v>20</v>
      </c>
    </row>
    <row r="398" spans="2:11" x14ac:dyDescent="0.25">
      <c r="B398">
        <v>394</v>
      </c>
      <c r="C398" s="1">
        <v>44654</v>
      </c>
      <c r="D398" t="s">
        <v>25</v>
      </c>
      <c r="E398" t="s">
        <v>11</v>
      </c>
      <c r="F398">
        <v>60</v>
      </c>
      <c r="G398">
        <v>1</v>
      </c>
      <c r="H398">
        <v>60</v>
      </c>
      <c r="I398" t="s">
        <v>15</v>
      </c>
      <c r="J398" t="s">
        <v>22</v>
      </c>
      <c r="K398" t="s">
        <v>23</v>
      </c>
    </row>
    <row r="399" spans="2:11" x14ac:dyDescent="0.25">
      <c r="B399">
        <v>395</v>
      </c>
      <c r="C399" s="1">
        <v>44957</v>
      </c>
      <c r="D399" t="s">
        <v>25</v>
      </c>
      <c r="E399" t="s">
        <v>11</v>
      </c>
      <c r="F399">
        <v>60</v>
      </c>
      <c r="G399">
        <v>3</v>
      </c>
      <c r="H399">
        <v>180</v>
      </c>
      <c r="I399" t="s">
        <v>15</v>
      </c>
      <c r="J399" t="s">
        <v>22</v>
      </c>
      <c r="K399" t="s">
        <v>20</v>
      </c>
    </row>
    <row r="400" spans="2:11" x14ac:dyDescent="0.25">
      <c r="B400">
        <v>396</v>
      </c>
      <c r="C400" s="1">
        <v>44865</v>
      </c>
      <c r="D400" t="s">
        <v>24</v>
      </c>
      <c r="E400" t="s">
        <v>11</v>
      </c>
      <c r="F400">
        <v>50</v>
      </c>
      <c r="G400">
        <v>15</v>
      </c>
      <c r="H400">
        <v>750</v>
      </c>
      <c r="I400" t="s">
        <v>19</v>
      </c>
      <c r="J400" t="s">
        <v>12</v>
      </c>
      <c r="K400" t="s">
        <v>23</v>
      </c>
    </row>
    <row r="401" spans="2:11" x14ac:dyDescent="0.25">
      <c r="B401">
        <v>397</v>
      </c>
      <c r="C401" s="1">
        <v>44748</v>
      </c>
      <c r="D401" t="s">
        <v>10</v>
      </c>
      <c r="E401" t="s">
        <v>11</v>
      </c>
      <c r="F401">
        <v>20</v>
      </c>
      <c r="G401">
        <v>2</v>
      </c>
      <c r="H401">
        <v>40</v>
      </c>
      <c r="I401" t="s">
        <v>19</v>
      </c>
      <c r="J401" t="s">
        <v>22</v>
      </c>
      <c r="K401" t="s">
        <v>16</v>
      </c>
    </row>
    <row r="402" spans="2:11" x14ac:dyDescent="0.25">
      <c r="B402">
        <v>398</v>
      </c>
      <c r="C402" s="1">
        <v>44939</v>
      </c>
      <c r="D402" t="s">
        <v>21</v>
      </c>
      <c r="E402" t="s">
        <v>11</v>
      </c>
      <c r="F402">
        <v>20</v>
      </c>
      <c r="G402">
        <v>6</v>
      </c>
      <c r="H402">
        <v>120</v>
      </c>
      <c r="I402" t="s">
        <v>19</v>
      </c>
      <c r="J402" t="s">
        <v>12</v>
      </c>
      <c r="K402" t="s">
        <v>20</v>
      </c>
    </row>
    <row r="403" spans="2:11" x14ac:dyDescent="0.25">
      <c r="B403">
        <v>399</v>
      </c>
      <c r="C403" s="1">
        <v>44736</v>
      </c>
      <c r="D403" t="s">
        <v>21</v>
      </c>
      <c r="E403" t="s">
        <v>11</v>
      </c>
      <c r="F403">
        <v>20</v>
      </c>
      <c r="G403">
        <v>9</v>
      </c>
      <c r="H403">
        <v>180</v>
      </c>
      <c r="I403" t="s">
        <v>15</v>
      </c>
      <c r="J403" t="s">
        <v>22</v>
      </c>
      <c r="K403" t="s">
        <v>20</v>
      </c>
    </row>
    <row r="404" spans="2:11" x14ac:dyDescent="0.25">
      <c r="B404">
        <v>400</v>
      </c>
      <c r="C404" s="1">
        <v>44989</v>
      </c>
      <c r="D404" t="s">
        <v>27</v>
      </c>
      <c r="E404" t="s">
        <v>18</v>
      </c>
      <c r="F404">
        <v>40</v>
      </c>
      <c r="G404">
        <v>15</v>
      </c>
      <c r="H404">
        <v>600</v>
      </c>
      <c r="I404" t="s">
        <v>15</v>
      </c>
      <c r="J404" t="s">
        <v>22</v>
      </c>
      <c r="K404" t="s">
        <v>23</v>
      </c>
    </row>
    <row r="405" spans="2:11" x14ac:dyDescent="0.25">
      <c r="B405">
        <v>401</v>
      </c>
      <c r="C405" s="1">
        <v>44845</v>
      </c>
      <c r="D405" t="s">
        <v>17</v>
      </c>
      <c r="E405" t="s">
        <v>18</v>
      </c>
      <c r="F405">
        <v>25</v>
      </c>
      <c r="G405">
        <v>8</v>
      </c>
      <c r="H405">
        <v>200</v>
      </c>
      <c r="I405" t="s">
        <v>19</v>
      </c>
      <c r="J405" t="s">
        <v>22</v>
      </c>
      <c r="K405" t="s">
        <v>26</v>
      </c>
    </row>
    <row r="406" spans="2:11" x14ac:dyDescent="0.25">
      <c r="B406">
        <v>402</v>
      </c>
      <c r="C406" s="1">
        <v>45004</v>
      </c>
      <c r="D406" t="s">
        <v>24</v>
      </c>
      <c r="E406" t="s">
        <v>11</v>
      </c>
      <c r="F406">
        <v>50</v>
      </c>
      <c r="G406">
        <v>7</v>
      </c>
      <c r="H406">
        <v>350</v>
      </c>
      <c r="I406" t="s">
        <v>15</v>
      </c>
      <c r="J406" t="s">
        <v>12</v>
      </c>
      <c r="K406" t="s">
        <v>13</v>
      </c>
    </row>
    <row r="407" spans="2:11" x14ac:dyDescent="0.25">
      <c r="B407">
        <v>403</v>
      </c>
      <c r="C407" s="1">
        <v>44829</v>
      </c>
      <c r="D407" t="s">
        <v>27</v>
      </c>
      <c r="E407" t="s">
        <v>18</v>
      </c>
      <c r="F407">
        <v>40</v>
      </c>
      <c r="G407">
        <v>3</v>
      </c>
      <c r="H407">
        <v>120</v>
      </c>
      <c r="I407" t="s">
        <v>19</v>
      </c>
      <c r="J407" t="s">
        <v>22</v>
      </c>
      <c r="K407" t="s">
        <v>26</v>
      </c>
    </row>
    <row r="408" spans="2:11" x14ac:dyDescent="0.25">
      <c r="B408">
        <v>404</v>
      </c>
      <c r="C408" s="1">
        <v>44891</v>
      </c>
      <c r="D408" t="s">
        <v>24</v>
      </c>
      <c r="E408" t="s">
        <v>11</v>
      </c>
      <c r="F408">
        <v>50</v>
      </c>
      <c r="G408">
        <v>7</v>
      </c>
      <c r="H408">
        <v>350</v>
      </c>
      <c r="I408" t="s">
        <v>15</v>
      </c>
      <c r="J408" t="s">
        <v>22</v>
      </c>
      <c r="K408" t="s">
        <v>26</v>
      </c>
    </row>
    <row r="409" spans="2:11" x14ac:dyDescent="0.25">
      <c r="B409">
        <v>405</v>
      </c>
      <c r="C409" s="1">
        <v>44908</v>
      </c>
      <c r="D409" t="s">
        <v>17</v>
      </c>
      <c r="E409" t="s">
        <v>18</v>
      </c>
      <c r="F409">
        <v>25</v>
      </c>
      <c r="G409">
        <v>10</v>
      </c>
      <c r="H409">
        <v>250</v>
      </c>
      <c r="I409" t="s">
        <v>15</v>
      </c>
      <c r="J409" t="s">
        <v>12</v>
      </c>
      <c r="K409" t="s">
        <v>13</v>
      </c>
    </row>
    <row r="410" spans="2:11" x14ac:dyDescent="0.25">
      <c r="B410">
        <v>406</v>
      </c>
      <c r="C410" s="1">
        <v>44847</v>
      </c>
      <c r="D410" t="s">
        <v>27</v>
      </c>
      <c r="E410" t="s">
        <v>18</v>
      </c>
      <c r="F410">
        <v>40</v>
      </c>
      <c r="G410">
        <v>4</v>
      </c>
      <c r="H410">
        <v>160</v>
      </c>
      <c r="I410" t="s">
        <v>19</v>
      </c>
      <c r="J410" t="s">
        <v>22</v>
      </c>
      <c r="K410" t="s">
        <v>16</v>
      </c>
    </row>
    <row r="411" spans="2:11" x14ac:dyDescent="0.25">
      <c r="B411">
        <v>407</v>
      </c>
      <c r="C411" s="1">
        <v>44928</v>
      </c>
      <c r="D411" t="s">
        <v>17</v>
      </c>
      <c r="E411" t="s">
        <v>18</v>
      </c>
      <c r="F411">
        <v>25</v>
      </c>
      <c r="G411">
        <v>2</v>
      </c>
      <c r="H411">
        <v>50</v>
      </c>
      <c r="I411" t="s">
        <v>15</v>
      </c>
      <c r="J411" t="s">
        <v>12</v>
      </c>
      <c r="K411" t="s">
        <v>20</v>
      </c>
    </row>
    <row r="412" spans="2:11" x14ac:dyDescent="0.25">
      <c r="B412">
        <v>408</v>
      </c>
      <c r="C412" s="1">
        <v>44839</v>
      </c>
      <c r="D412" t="s">
        <v>14</v>
      </c>
      <c r="E412" t="s">
        <v>11</v>
      </c>
      <c r="F412">
        <v>20</v>
      </c>
      <c r="G412">
        <v>4</v>
      </c>
      <c r="H412">
        <v>80</v>
      </c>
      <c r="I412" t="s">
        <v>19</v>
      </c>
      <c r="J412" t="s">
        <v>12</v>
      </c>
      <c r="K412" t="s">
        <v>26</v>
      </c>
    </row>
    <row r="413" spans="2:11" x14ac:dyDescent="0.25">
      <c r="B413">
        <v>409</v>
      </c>
      <c r="C413" s="1">
        <v>44819</v>
      </c>
      <c r="D413" t="s">
        <v>10</v>
      </c>
      <c r="E413" t="s">
        <v>11</v>
      </c>
      <c r="F413">
        <v>20</v>
      </c>
      <c r="G413">
        <v>9</v>
      </c>
      <c r="H413">
        <v>180</v>
      </c>
      <c r="I413" t="s">
        <v>15</v>
      </c>
      <c r="J413" t="s">
        <v>22</v>
      </c>
      <c r="K413" t="s">
        <v>23</v>
      </c>
    </row>
    <row r="414" spans="2:11" x14ac:dyDescent="0.25">
      <c r="B414">
        <v>410</v>
      </c>
      <c r="C414" s="1">
        <v>44888</v>
      </c>
      <c r="D414" t="s">
        <v>10</v>
      </c>
      <c r="E414" t="s">
        <v>11</v>
      </c>
      <c r="F414">
        <v>20</v>
      </c>
      <c r="G414">
        <v>15</v>
      </c>
      <c r="H414">
        <v>300</v>
      </c>
      <c r="I414" t="s">
        <v>19</v>
      </c>
      <c r="J414" t="s">
        <v>12</v>
      </c>
      <c r="K414" t="s">
        <v>16</v>
      </c>
    </row>
    <row r="415" spans="2:11" x14ac:dyDescent="0.25">
      <c r="B415">
        <v>411</v>
      </c>
      <c r="C415" s="1">
        <v>44885</v>
      </c>
      <c r="D415" t="s">
        <v>21</v>
      </c>
      <c r="E415" t="s">
        <v>11</v>
      </c>
      <c r="F415">
        <v>20</v>
      </c>
      <c r="G415">
        <v>12</v>
      </c>
      <c r="H415">
        <v>240</v>
      </c>
      <c r="I415" t="s">
        <v>15</v>
      </c>
      <c r="J415" t="s">
        <v>12</v>
      </c>
      <c r="K415" t="s">
        <v>16</v>
      </c>
    </row>
    <row r="416" spans="2:11" x14ac:dyDescent="0.25">
      <c r="B416">
        <v>412</v>
      </c>
      <c r="C416" s="1">
        <v>44994</v>
      </c>
      <c r="D416" t="s">
        <v>17</v>
      </c>
      <c r="E416" t="s">
        <v>18</v>
      </c>
      <c r="F416">
        <v>25</v>
      </c>
      <c r="G416">
        <v>14</v>
      </c>
      <c r="H416">
        <v>350</v>
      </c>
      <c r="J416" t="s">
        <v>12</v>
      </c>
      <c r="K416" t="s">
        <v>16</v>
      </c>
    </row>
    <row r="417" spans="2:11" x14ac:dyDescent="0.25">
      <c r="B417">
        <v>413</v>
      </c>
      <c r="C417" s="1">
        <v>44654</v>
      </c>
      <c r="D417" t="s">
        <v>10</v>
      </c>
      <c r="E417" t="s">
        <v>11</v>
      </c>
      <c r="F417">
        <v>20</v>
      </c>
      <c r="G417">
        <v>10</v>
      </c>
      <c r="H417">
        <v>200</v>
      </c>
      <c r="I417" t="s">
        <v>19</v>
      </c>
      <c r="J417" t="s">
        <v>22</v>
      </c>
      <c r="K417" t="s">
        <v>26</v>
      </c>
    </row>
    <row r="418" spans="2:11" x14ac:dyDescent="0.25">
      <c r="B418">
        <v>414</v>
      </c>
      <c r="C418" s="1">
        <v>44947</v>
      </c>
      <c r="D418" t="s">
        <v>27</v>
      </c>
      <c r="E418" t="s">
        <v>18</v>
      </c>
      <c r="F418">
        <v>40</v>
      </c>
      <c r="G418">
        <v>13</v>
      </c>
      <c r="H418">
        <v>520</v>
      </c>
      <c r="J418" t="s">
        <v>12</v>
      </c>
      <c r="K418" t="s">
        <v>13</v>
      </c>
    </row>
    <row r="419" spans="2:11" x14ac:dyDescent="0.25">
      <c r="B419">
        <v>415</v>
      </c>
      <c r="C419" s="1">
        <v>44900</v>
      </c>
      <c r="D419" t="s">
        <v>14</v>
      </c>
      <c r="E419" t="s">
        <v>11</v>
      </c>
      <c r="F419">
        <v>20</v>
      </c>
      <c r="G419">
        <v>8</v>
      </c>
      <c r="H419">
        <v>160</v>
      </c>
      <c r="I419" t="s">
        <v>19</v>
      </c>
      <c r="J419" t="s">
        <v>12</v>
      </c>
      <c r="K419" t="s">
        <v>20</v>
      </c>
    </row>
    <row r="420" spans="2:11" x14ac:dyDescent="0.25">
      <c r="B420">
        <v>416</v>
      </c>
      <c r="C420" s="1">
        <v>44778</v>
      </c>
      <c r="D420" t="s">
        <v>25</v>
      </c>
      <c r="E420" t="s">
        <v>11</v>
      </c>
      <c r="F420">
        <v>60</v>
      </c>
      <c r="G420">
        <v>9</v>
      </c>
      <c r="H420">
        <v>540</v>
      </c>
      <c r="J420" t="s">
        <v>12</v>
      </c>
      <c r="K420" t="s">
        <v>23</v>
      </c>
    </row>
    <row r="421" spans="2:11" x14ac:dyDescent="0.25">
      <c r="B421">
        <v>417</v>
      </c>
      <c r="C421" s="1">
        <v>44942</v>
      </c>
      <c r="D421" t="s">
        <v>21</v>
      </c>
      <c r="E421" t="s">
        <v>11</v>
      </c>
      <c r="F421">
        <v>20</v>
      </c>
      <c r="G421">
        <v>3</v>
      </c>
      <c r="H421">
        <v>60</v>
      </c>
      <c r="I421" t="s">
        <v>15</v>
      </c>
      <c r="J421" t="s">
        <v>12</v>
      </c>
      <c r="K421" t="s">
        <v>20</v>
      </c>
    </row>
    <row r="422" spans="2:11" x14ac:dyDescent="0.25">
      <c r="B422">
        <v>418</v>
      </c>
      <c r="C422" s="1">
        <v>44877</v>
      </c>
      <c r="D422" t="s">
        <v>27</v>
      </c>
      <c r="E422" t="s">
        <v>18</v>
      </c>
      <c r="F422">
        <v>40</v>
      </c>
      <c r="G422">
        <v>7</v>
      </c>
      <c r="H422">
        <v>280</v>
      </c>
      <c r="I422" t="s">
        <v>19</v>
      </c>
      <c r="J422" t="s">
        <v>12</v>
      </c>
      <c r="K422" t="s">
        <v>13</v>
      </c>
    </row>
    <row r="423" spans="2:11" x14ac:dyDescent="0.25">
      <c r="B423">
        <v>419</v>
      </c>
      <c r="C423" s="1">
        <v>44842</v>
      </c>
      <c r="D423" t="s">
        <v>17</v>
      </c>
      <c r="E423" t="s">
        <v>18</v>
      </c>
      <c r="F423">
        <v>25</v>
      </c>
      <c r="G423">
        <v>14</v>
      </c>
      <c r="H423">
        <v>350</v>
      </c>
      <c r="J423" t="s">
        <v>22</v>
      </c>
      <c r="K423" t="s">
        <v>26</v>
      </c>
    </row>
    <row r="424" spans="2:11" x14ac:dyDescent="0.25">
      <c r="B424">
        <v>420</v>
      </c>
      <c r="C424" s="1">
        <v>44956</v>
      </c>
      <c r="D424" t="s">
        <v>24</v>
      </c>
      <c r="E424" t="s">
        <v>11</v>
      </c>
      <c r="F424">
        <v>50</v>
      </c>
      <c r="G424">
        <v>13</v>
      </c>
      <c r="H424">
        <v>650</v>
      </c>
      <c r="I424" t="s">
        <v>19</v>
      </c>
      <c r="J424" t="s">
        <v>22</v>
      </c>
      <c r="K424" t="s">
        <v>20</v>
      </c>
    </row>
    <row r="425" spans="2:11" x14ac:dyDescent="0.25">
      <c r="B425">
        <v>421</v>
      </c>
      <c r="C425" s="1">
        <v>45009</v>
      </c>
      <c r="D425" t="s">
        <v>27</v>
      </c>
      <c r="E425" t="s">
        <v>18</v>
      </c>
      <c r="F425">
        <v>40</v>
      </c>
      <c r="G425">
        <v>2</v>
      </c>
      <c r="H425">
        <v>80</v>
      </c>
      <c r="I425" t="s">
        <v>19</v>
      </c>
      <c r="J425" t="s">
        <v>12</v>
      </c>
      <c r="K425" t="s">
        <v>26</v>
      </c>
    </row>
    <row r="426" spans="2:11" x14ac:dyDescent="0.25">
      <c r="B426">
        <v>422</v>
      </c>
      <c r="C426" s="1">
        <v>44775</v>
      </c>
      <c r="D426" t="s">
        <v>27</v>
      </c>
      <c r="E426" t="s">
        <v>18</v>
      </c>
      <c r="F426">
        <v>40</v>
      </c>
      <c r="G426">
        <v>7</v>
      </c>
      <c r="H426">
        <v>280</v>
      </c>
      <c r="I426" t="s">
        <v>19</v>
      </c>
      <c r="J426" t="s">
        <v>12</v>
      </c>
      <c r="K426" t="s">
        <v>20</v>
      </c>
    </row>
    <row r="427" spans="2:11" x14ac:dyDescent="0.25">
      <c r="B427">
        <v>423</v>
      </c>
      <c r="C427" s="1">
        <v>44855</v>
      </c>
      <c r="D427" t="s">
        <v>24</v>
      </c>
      <c r="E427" t="s">
        <v>11</v>
      </c>
      <c r="F427">
        <v>50</v>
      </c>
      <c r="G427">
        <v>7</v>
      </c>
      <c r="H427">
        <v>350</v>
      </c>
      <c r="I427" t="s">
        <v>15</v>
      </c>
      <c r="J427" t="s">
        <v>22</v>
      </c>
      <c r="K427" t="s">
        <v>13</v>
      </c>
    </row>
    <row r="428" spans="2:11" x14ac:dyDescent="0.25">
      <c r="B428">
        <v>424</v>
      </c>
      <c r="C428" s="1">
        <v>44672</v>
      </c>
      <c r="D428" t="s">
        <v>17</v>
      </c>
      <c r="E428" t="s">
        <v>18</v>
      </c>
      <c r="F428">
        <v>25</v>
      </c>
      <c r="G428">
        <v>9</v>
      </c>
      <c r="H428">
        <v>225</v>
      </c>
      <c r="I428" t="s">
        <v>19</v>
      </c>
      <c r="J428" t="s">
        <v>22</v>
      </c>
      <c r="K428" t="s">
        <v>26</v>
      </c>
    </row>
    <row r="429" spans="2:11" x14ac:dyDescent="0.25">
      <c r="B429">
        <v>425</v>
      </c>
      <c r="C429" s="1">
        <v>44790</v>
      </c>
      <c r="D429" t="s">
        <v>21</v>
      </c>
      <c r="E429" t="s">
        <v>11</v>
      </c>
      <c r="F429">
        <v>20</v>
      </c>
      <c r="G429">
        <v>14</v>
      </c>
      <c r="H429">
        <v>280</v>
      </c>
      <c r="I429" t="s">
        <v>19</v>
      </c>
      <c r="J429" t="s">
        <v>12</v>
      </c>
      <c r="K429" t="s">
        <v>16</v>
      </c>
    </row>
    <row r="430" spans="2:11" x14ac:dyDescent="0.25">
      <c r="B430">
        <v>426</v>
      </c>
      <c r="C430" s="1">
        <v>44946</v>
      </c>
      <c r="D430" t="s">
        <v>24</v>
      </c>
      <c r="E430" t="s">
        <v>11</v>
      </c>
      <c r="F430">
        <v>50</v>
      </c>
      <c r="G430">
        <v>14</v>
      </c>
      <c r="H430">
        <v>700</v>
      </c>
      <c r="I430" t="s">
        <v>15</v>
      </c>
      <c r="J430" t="s">
        <v>12</v>
      </c>
      <c r="K430" t="s">
        <v>26</v>
      </c>
    </row>
    <row r="431" spans="2:11" x14ac:dyDescent="0.25">
      <c r="B431">
        <v>427</v>
      </c>
      <c r="C431" s="1">
        <v>44702</v>
      </c>
      <c r="D431" t="s">
        <v>25</v>
      </c>
      <c r="E431" t="s">
        <v>11</v>
      </c>
      <c r="F431">
        <v>60</v>
      </c>
      <c r="G431">
        <v>2</v>
      </c>
      <c r="H431">
        <v>120</v>
      </c>
      <c r="I431" t="s">
        <v>19</v>
      </c>
      <c r="J431" t="s">
        <v>12</v>
      </c>
      <c r="K431" t="s">
        <v>16</v>
      </c>
    </row>
    <row r="432" spans="2:11" x14ac:dyDescent="0.25">
      <c r="B432">
        <v>428</v>
      </c>
      <c r="C432" s="1">
        <v>44919</v>
      </c>
      <c r="D432" t="s">
        <v>17</v>
      </c>
      <c r="E432" t="s">
        <v>18</v>
      </c>
      <c r="F432">
        <v>25</v>
      </c>
      <c r="G432">
        <v>8</v>
      </c>
      <c r="H432">
        <v>200</v>
      </c>
      <c r="I432" t="s">
        <v>19</v>
      </c>
      <c r="J432" t="s">
        <v>12</v>
      </c>
      <c r="K432" t="s">
        <v>16</v>
      </c>
    </row>
    <row r="433" spans="2:11" x14ac:dyDescent="0.25">
      <c r="B433">
        <v>429</v>
      </c>
      <c r="C433" s="1">
        <v>44823</v>
      </c>
      <c r="D433" t="s">
        <v>27</v>
      </c>
      <c r="E433" t="s">
        <v>18</v>
      </c>
      <c r="F433">
        <v>40</v>
      </c>
      <c r="G433">
        <v>3</v>
      </c>
      <c r="H433">
        <v>120</v>
      </c>
      <c r="I433" t="s">
        <v>19</v>
      </c>
      <c r="J433" t="s">
        <v>12</v>
      </c>
      <c r="K433" t="s">
        <v>13</v>
      </c>
    </row>
    <row r="434" spans="2:11" x14ac:dyDescent="0.25">
      <c r="B434">
        <v>430</v>
      </c>
      <c r="C434" s="1">
        <v>44870</v>
      </c>
      <c r="D434" t="s">
        <v>25</v>
      </c>
      <c r="E434" t="s">
        <v>11</v>
      </c>
      <c r="F434">
        <v>60</v>
      </c>
      <c r="G434">
        <v>4</v>
      </c>
      <c r="H434">
        <v>240</v>
      </c>
      <c r="I434" t="s">
        <v>19</v>
      </c>
      <c r="J434" t="s">
        <v>12</v>
      </c>
      <c r="K434" t="s">
        <v>13</v>
      </c>
    </row>
    <row r="435" spans="2:11" x14ac:dyDescent="0.25">
      <c r="B435">
        <v>431</v>
      </c>
      <c r="C435" s="1">
        <v>45001</v>
      </c>
      <c r="D435" t="s">
        <v>21</v>
      </c>
      <c r="E435" t="s">
        <v>11</v>
      </c>
      <c r="F435">
        <v>20</v>
      </c>
      <c r="G435">
        <v>6</v>
      </c>
      <c r="H435">
        <v>120</v>
      </c>
      <c r="I435" t="s">
        <v>19</v>
      </c>
      <c r="J435" t="s">
        <v>12</v>
      </c>
      <c r="K435" t="s">
        <v>20</v>
      </c>
    </row>
    <row r="436" spans="2:11" x14ac:dyDescent="0.25">
      <c r="B436">
        <v>432</v>
      </c>
      <c r="C436" s="1">
        <v>45012</v>
      </c>
      <c r="D436" t="s">
        <v>21</v>
      </c>
      <c r="E436" t="s">
        <v>11</v>
      </c>
      <c r="F436">
        <v>20</v>
      </c>
      <c r="G436">
        <v>6</v>
      </c>
      <c r="H436">
        <v>120</v>
      </c>
      <c r="I436" t="s">
        <v>19</v>
      </c>
      <c r="J436" t="s">
        <v>12</v>
      </c>
      <c r="K436" t="s">
        <v>16</v>
      </c>
    </row>
    <row r="437" spans="2:11" x14ac:dyDescent="0.25">
      <c r="B437">
        <v>433</v>
      </c>
      <c r="C437" s="1">
        <v>44708</v>
      </c>
      <c r="D437" t="s">
        <v>21</v>
      </c>
      <c r="E437" t="s">
        <v>11</v>
      </c>
      <c r="F437">
        <v>20</v>
      </c>
      <c r="G437">
        <v>14</v>
      </c>
      <c r="H437">
        <v>280</v>
      </c>
      <c r="I437" t="s">
        <v>19</v>
      </c>
      <c r="J437" t="s">
        <v>22</v>
      </c>
      <c r="K437" t="s">
        <v>20</v>
      </c>
    </row>
    <row r="438" spans="2:11" x14ac:dyDescent="0.25">
      <c r="B438">
        <v>434</v>
      </c>
      <c r="C438" s="1">
        <v>44794</v>
      </c>
      <c r="D438" t="s">
        <v>10</v>
      </c>
      <c r="E438" t="s">
        <v>11</v>
      </c>
      <c r="F438">
        <v>20</v>
      </c>
      <c r="G438">
        <v>12</v>
      </c>
      <c r="H438">
        <v>240</v>
      </c>
      <c r="I438" t="s">
        <v>15</v>
      </c>
      <c r="J438" t="s">
        <v>12</v>
      </c>
      <c r="K438" t="s">
        <v>23</v>
      </c>
    </row>
    <row r="439" spans="2:11" x14ac:dyDescent="0.25">
      <c r="B439">
        <v>435</v>
      </c>
      <c r="C439" s="1">
        <v>44689</v>
      </c>
      <c r="D439" t="s">
        <v>25</v>
      </c>
      <c r="E439" t="s">
        <v>11</v>
      </c>
      <c r="F439">
        <v>60</v>
      </c>
      <c r="G439">
        <v>1</v>
      </c>
      <c r="H439">
        <v>60</v>
      </c>
      <c r="I439" t="s">
        <v>15</v>
      </c>
      <c r="J439" t="s">
        <v>22</v>
      </c>
      <c r="K439" t="s">
        <v>16</v>
      </c>
    </row>
    <row r="440" spans="2:11" x14ac:dyDescent="0.25">
      <c r="B440">
        <v>436</v>
      </c>
      <c r="C440" s="1">
        <v>44931</v>
      </c>
      <c r="D440" t="s">
        <v>24</v>
      </c>
      <c r="E440" t="s">
        <v>11</v>
      </c>
      <c r="F440">
        <v>50</v>
      </c>
      <c r="G440">
        <v>10</v>
      </c>
      <c r="H440">
        <v>500</v>
      </c>
      <c r="I440" t="s">
        <v>15</v>
      </c>
      <c r="J440" t="s">
        <v>12</v>
      </c>
      <c r="K440" t="s">
        <v>26</v>
      </c>
    </row>
    <row r="441" spans="2:11" x14ac:dyDescent="0.25">
      <c r="B441">
        <v>437</v>
      </c>
      <c r="C441" s="1">
        <v>44804</v>
      </c>
      <c r="D441" t="s">
        <v>27</v>
      </c>
      <c r="E441" t="s">
        <v>18</v>
      </c>
      <c r="F441">
        <v>40</v>
      </c>
      <c r="G441">
        <v>1</v>
      </c>
      <c r="H441">
        <v>40</v>
      </c>
      <c r="J441" t="s">
        <v>12</v>
      </c>
      <c r="K441" t="s">
        <v>23</v>
      </c>
    </row>
    <row r="442" spans="2:11" x14ac:dyDescent="0.25">
      <c r="B442">
        <v>438</v>
      </c>
      <c r="C442" s="1">
        <v>44732</v>
      </c>
      <c r="D442" t="s">
        <v>27</v>
      </c>
      <c r="E442" t="s">
        <v>18</v>
      </c>
      <c r="F442">
        <v>40</v>
      </c>
      <c r="G442">
        <v>5</v>
      </c>
      <c r="H442">
        <v>200</v>
      </c>
      <c r="I442" t="s">
        <v>19</v>
      </c>
      <c r="J442" t="s">
        <v>12</v>
      </c>
      <c r="K442" t="s">
        <v>23</v>
      </c>
    </row>
    <row r="443" spans="2:11" x14ac:dyDescent="0.25">
      <c r="B443">
        <v>439</v>
      </c>
      <c r="C443" s="1">
        <v>44834</v>
      </c>
      <c r="D443" t="s">
        <v>24</v>
      </c>
      <c r="E443" t="s">
        <v>11</v>
      </c>
      <c r="F443">
        <v>50</v>
      </c>
      <c r="G443">
        <v>13</v>
      </c>
      <c r="H443">
        <v>650</v>
      </c>
      <c r="I443" t="s">
        <v>19</v>
      </c>
      <c r="J443" t="s">
        <v>12</v>
      </c>
      <c r="K443" t="s">
        <v>16</v>
      </c>
    </row>
    <row r="444" spans="2:11" x14ac:dyDescent="0.25">
      <c r="B444">
        <v>440</v>
      </c>
      <c r="C444" s="1">
        <v>44893</v>
      </c>
      <c r="D444" t="s">
        <v>10</v>
      </c>
      <c r="E444" t="s">
        <v>11</v>
      </c>
      <c r="F444">
        <v>20</v>
      </c>
      <c r="G444">
        <v>7</v>
      </c>
      <c r="H444">
        <v>140</v>
      </c>
      <c r="I444" t="s">
        <v>15</v>
      </c>
      <c r="J444" t="s">
        <v>12</v>
      </c>
      <c r="K444" t="s">
        <v>16</v>
      </c>
    </row>
    <row r="445" spans="2:11" x14ac:dyDescent="0.25">
      <c r="B445">
        <v>441</v>
      </c>
      <c r="C445" s="1">
        <v>44867</v>
      </c>
      <c r="D445" t="s">
        <v>10</v>
      </c>
      <c r="E445" t="s">
        <v>11</v>
      </c>
      <c r="F445">
        <v>20</v>
      </c>
      <c r="G445">
        <v>1</v>
      </c>
      <c r="H445">
        <v>20</v>
      </c>
      <c r="I445" t="s">
        <v>19</v>
      </c>
      <c r="J445" t="s">
        <v>22</v>
      </c>
      <c r="K445" t="s">
        <v>26</v>
      </c>
    </row>
    <row r="446" spans="2:11" x14ac:dyDescent="0.25">
      <c r="B446">
        <v>442</v>
      </c>
      <c r="C446" s="1">
        <v>44795</v>
      </c>
      <c r="D446" t="s">
        <v>17</v>
      </c>
      <c r="E446" t="s">
        <v>18</v>
      </c>
      <c r="F446">
        <v>25</v>
      </c>
      <c r="G446">
        <v>7</v>
      </c>
      <c r="H446">
        <v>175</v>
      </c>
      <c r="I446" t="s">
        <v>19</v>
      </c>
      <c r="J446" t="s">
        <v>22</v>
      </c>
      <c r="K446" t="s">
        <v>13</v>
      </c>
    </row>
    <row r="447" spans="2:11" x14ac:dyDescent="0.25">
      <c r="B447">
        <v>443</v>
      </c>
      <c r="C447" s="1">
        <v>44809</v>
      </c>
      <c r="D447" t="s">
        <v>17</v>
      </c>
      <c r="E447" t="s">
        <v>18</v>
      </c>
      <c r="F447">
        <v>25</v>
      </c>
      <c r="G447">
        <v>12</v>
      </c>
      <c r="H447">
        <v>300</v>
      </c>
      <c r="I447" t="s">
        <v>15</v>
      </c>
      <c r="J447" t="s">
        <v>22</v>
      </c>
      <c r="K447" t="s">
        <v>13</v>
      </c>
    </row>
    <row r="448" spans="2:11" x14ac:dyDescent="0.25">
      <c r="B448">
        <v>444</v>
      </c>
      <c r="C448" s="1">
        <v>44832</v>
      </c>
      <c r="D448" t="s">
        <v>24</v>
      </c>
      <c r="E448" t="s">
        <v>11</v>
      </c>
      <c r="F448">
        <v>50</v>
      </c>
      <c r="G448">
        <v>4</v>
      </c>
      <c r="H448">
        <v>200</v>
      </c>
      <c r="J448" t="s">
        <v>12</v>
      </c>
      <c r="K448" t="s">
        <v>20</v>
      </c>
    </row>
    <row r="449" spans="2:11" x14ac:dyDescent="0.25">
      <c r="B449">
        <v>445</v>
      </c>
      <c r="C449" s="1">
        <v>44856</v>
      </c>
      <c r="D449" t="s">
        <v>25</v>
      </c>
      <c r="E449" t="s">
        <v>11</v>
      </c>
      <c r="F449">
        <v>60</v>
      </c>
      <c r="G449">
        <v>14</v>
      </c>
      <c r="H449">
        <v>840</v>
      </c>
      <c r="I449" t="s">
        <v>19</v>
      </c>
      <c r="J449" t="s">
        <v>22</v>
      </c>
      <c r="K449" t="s">
        <v>23</v>
      </c>
    </row>
    <row r="450" spans="2:11" x14ac:dyDescent="0.25">
      <c r="B450">
        <v>446</v>
      </c>
      <c r="C450" s="1">
        <v>44804</v>
      </c>
      <c r="D450" t="s">
        <v>27</v>
      </c>
      <c r="E450" t="s">
        <v>18</v>
      </c>
      <c r="F450">
        <v>40</v>
      </c>
      <c r="G450">
        <v>9</v>
      </c>
      <c r="H450">
        <v>360</v>
      </c>
      <c r="I450" t="s">
        <v>15</v>
      </c>
      <c r="J450" t="s">
        <v>12</v>
      </c>
      <c r="K450" t="s">
        <v>13</v>
      </c>
    </row>
    <row r="451" spans="2:11" x14ac:dyDescent="0.25">
      <c r="B451">
        <v>447</v>
      </c>
      <c r="C451" s="1">
        <v>44943</v>
      </c>
      <c r="D451" t="s">
        <v>24</v>
      </c>
      <c r="E451" t="s">
        <v>11</v>
      </c>
      <c r="F451">
        <v>50</v>
      </c>
      <c r="G451">
        <v>6</v>
      </c>
      <c r="H451">
        <v>300</v>
      </c>
      <c r="I451" t="s">
        <v>19</v>
      </c>
      <c r="J451" t="s">
        <v>22</v>
      </c>
      <c r="K451" t="s">
        <v>16</v>
      </c>
    </row>
    <row r="452" spans="2:11" x14ac:dyDescent="0.25">
      <c r="B452">
        <v>448</v>
      </c>
      <c r="C452" s="1">
        <v>44769</v>
      </c>
      <c r="D452" t="s">
        <v>14</v>
      </c>
      <c r="E452" t="s">
        <v>11</v>
      </c>
      <c r="F452">
        <v>20</v>
      </c>
      <c r="G452">
        <v>6</v>
      </c>
      <c r="H452">
        <v>120</v>
      </c>
      <c r="I452" t="s">
        <v>15</v>
      </c>
      <c r="J452" t="s">
        <v>22</v>
      </c>
      <c r="K452" t="s">
        <v>20</v>
      </c>
    </row>
    <row r="453" spans="2:11" x14ac:dyDescent="0.25">
      <c r="B453">
        <v>449</v>
      </c>
      <c r="C453" s="1">
        <v>44813</v>
      </c>
      <c r="D453" t="s">
        <v>24</v>
      </c>
      <c r="E453" t="s">
        <v>11</v>
      </c>
      <c r="F453">
        <v>50</v>
      </c>
      <c r="G453">
        <v>4</v>
      </c>
      <c r="H453">
        <v>200</v>
      </c>
      <c r="I453" t="s">
        <v>15</v>
      </c>
      <c r="J453" t="s">
        <v>12</v>
      </c>
      <c r="K453" t="s">
        <v>16</v>
      </c>
    </row>
    <row r="454" spans="2:11" x14ac:dyDescent="0.25">
      <c r="B454">
        <v>450</v>
      </c>
      <c r="C454" s="1">
        <v>44701</v>
      </c>
      <c r="D454" t="s">
        <v>17</v>
      </c>
      <c r="E454" t="s">
        <v>18</v>
      </c>
      <c r="F454">
        <v>25</v>
      </c>
      <c r="G454">
        <v>1</v>
      </c>
      <c r="H454">
        <v>25</v>
      </c>
      <c r="I454" t="s">
        <v>19</v>
      </c>
      <c r="J454" t="s">
        <v>12</v>
      </c>
      <c r="K454" t="s">
        <v>23</v>
      </c>
    </row>
    <row r="455" spans="2:11" x14ac:dyDescent="0.25">
      <c r="B455">
        <v>451</v>
      </c>
      <c r="C455" s="1">
        <v>45000</v>
      </c>
      <c r="D455" t="s">
        <v>17</v>
      </c>
      <c r="E455" t="s">
        <v>18</v>
      </c>
      <c r="F455">
        <v>25</v>
      </c>
      <c r="G455">
        <v>10</v>
      </c>
      <c r="H455">
        <v>250</v>
      </c>
      <c r="I455" t="s">
        <v>15</v>
      </c>
      <c r="J455" t="s">
        <v>22</v>
      </c>
      <c r="K455" t="s">
        <v>26</v>
      </c>
    </row>
    <row r="456" spans="2:11" x14ac:dyDescent="0.25">
      <c r="B456">
        <v>452</v>
      </c>
      <c r="C456" s="1">
        <v>44920</v>
      </c>
      <c r="D456" t="s">
        <v>24</v>
      </c>
      <c r="E456" t="s">
        <v>11</v>
      </c>
      <c r="F456">
        <v>50</v>
      </c>
      <c r="G456">
        <v>5</v>
      </c>
      <c r="H456">
        <v>250</v>
      </c>
      <c r="I456" t="s">
        <v>19</v>
      </c>
      <c r="J456" t="s">
        <v>12</v>
      </c>
      <c r="K456" t="s">
        <v>16</v>
      </c>
    </row>
    <row r="457" spans="2:11" x14ac:dyDescent="0.25">
      <c r="B457">
        <v>453</v>
      </c>
      <c r="C457" s="1">
        <v>44854</v>
      </c>
      <c r="D457" t="s">
        <v>25</v>
      </c>
      <c r="E457" t="s">
        <v>11</v>
      </c>
      <c r="F457">
        <v>60</v>
      </c>
      <c r="G457">
        <v>1</v>
      </c>
      <c r="H457">
        <v>60</v>
      </c>
      <c r="I457" t="s">
        <v>19</v>
      </c>
      <c r="J457" t="s">
        <v>22</v>
      </c>
      <c r="K457" t="s">
        <v>26</v>
      </c>
    </row>
    <row r="458" spans="2:11" x14ac:dyDescent="0.25">
      <c r="B458">
        <v>454</v>
      </c>
      <c r="C458" s="1">
        <v>44992</v>
      </c>
      <c r="D458" t="s">
        <v>25</v>
      </c>
      <c r="E458" t="s">
        <v>11</v>
      </c>
      <c r="F458">
        <v>60</v>
      </c>
      <c r="G458">
        <v>1</v>
      </c>
      <c r="H458">
        <v>60</v>
      </c>
      <c r="I458" t="s">
        <v>19</v>
      </c>
      <c r="J458" t="s">
        <v>22</v>
      </c>
      <c r="K458" t="s">
        <v>20</v>
      </c>
    </row>
    <row r="459" spans="2:11" x14ac:dyDescent="0.25">
      <c r="B459">
        <v>455</v>
      </c>
      <c r="C459" s="1">
        <v>44986</v>
      </c>
      <c r="D459" t="s">
        <v>27</v>
      </c>
      <c r="E459" t="s">
        <v>18</v>
      </c>
      <c r="F459">
        <v>40</v>
      </c>
      <c r="G459">
        <v>11</v>
      </c>
      <c r="H459">
        <v>440</v>
      </c>
      <c r="I459" t="s">
        <v>15</v>
      </c>
      <c r="J459" t="s">
        <v>12</v>
      </c>
      <c r="K459" t="s">
        <v>26</v>
      </c>
    </row>
    <row r="460" spans="2:11" x14ac:dyDescent="0.25">
      <c r="B460">
        <v>456</v>
      </c>
      <c r="C460" s="1">
        <v>44926</v>
      </c>
      <c r="D460" t="s">
        <v>27</v>
      </c>
      <c r="E460" t="s">
        <v>18</v>
      </c>
      <c r="F460">
        <v>40</v>
      </c>
      <c r="G460">
        <v>13</v>
      </c>
      <c r="H460">
        <v>520</v>
      </c>
      <c r="J460" t="s">
        <v>22</v>
      </c>
      <c r="K460" t="s">
        <v>13</v>
      </c>
    </row>
    <row r="461" spans="2:11" x14ac:dyDescent="0.25">
      <c r="B461">
        <v>457</v>
      </c>
      <c r="C461" s="1">
        <v>44850</v>
      </c>
      <c r="D461" t="s">
        <v>27</v>
      </c>
      <c r="E461" t="s">
        <v>18</v>
      </c>
      <c r="F461">
        <v>40</v>
      </c>
      <c r="G461">
        <v>11</v>
      </c>
      <c r="H461">
        <v>440</v>
      </c>
      <c r="I461" t="s">
        <v>15</v>
      </c>
      <c r="J461" t="s">
        <v>12</v>
      </c>
      <c r="K461" t="s">
        <v>20</v>
      </c>
    </row>
    <row r="462" spans="2:11" x14ac:dyDescent="0.25">
      <c r="B462">
        <v>458</v>
      </c>
      <c r="C462" s="1">
        <v>44816</v>
      </c>
      <c r="D462" t="s">
        <v>17</v>
      </c>
      <c r="E462" t="s">
        <v>18</v>
      </c>
      <c r="F462">
        <v>25</v>
      </c>
      <c r="G462">
        <v>8</v>
      </c>
      <c r="H462">
        <v>200</v>
      </c>
      <c r="I462" t="s">
        <v>15</v>
      </c>
      <c r="J462" t="s">
        <v>22</v>
      </c>
      <c r="K462" t="s">
        <v>26</v>
      </c>
    </row>
    <row r="463" spans="2:11" x14ac:dyDescent="0.25">
      <c r="B463">
        <v>459</v>
      </c>
      <c r="C463" s="1">
        <v>44720</v>
      </c>
      <c r="D463" t="s">
        <v>14</v>
      </c>
      <c r="E463" t="s">
        <v>11</v>
      </c>
      <c r="F463">
        <v>20</v>
      </c>
      <c r="G463">
        <v>14</v>
      </c>
      <c r="H463">
        <v>280</v>
      </c>
      <c r="I463" t="s">
        <v>15</v>
      </c>
      <c r="J463" t="s">
        <v>12</v>
      </c>
      <c r="K463" t="s">
        <v>13</v>
      </c>
    </row>
    <row r="464" spans="2:11" x14ac:dyDescent="0.25">
      <c r="B464">
        <v>460</v>
      </c>
      <c r="C464" s="1">
        <v>44885</v>
      </c>
      <c r="D464" t="s">
        <v>10</v>
      </c>
      <c r="E464" t="s">
        <v>11</v>
      </c>
      <c r="F464">
        <v>20</v>
      </c>
      <c r="G464">
        <v>2</v>
      </c>
      <c r="H464">
        <v>40</v>
      </c>
      <c r="I464" t="s">
        <v>15</v>
      </c>
      <c r="J464" t="s">
        <v>12</v>
      </c>
      <c r="K464" t="s">
        <v>23</v>
      </c>
    </row>
    <row r="465" spans="2:11" x14ac:dyDescent="0.25">
      <c r="B465">
        <v>461</v>
      </c>
      <c r="C465" s="1">
        <v>44764</v>
      </c>
      <c r="D465" t="s">
        <v>17</v>
      </c>
      <c r="E465" t="s">
        <v>18</v>
      </c>
      <c r="F465">
        <v>25</v>
      </c>
      <c r="G465">
        <v>5</v>
      </c>
      <c r="H465">
        <v>125</v>
      </c>
      <c r="I465" t="s">
        <v>15</v>
      </c>
      <c r="J465" t="s">
        <v>12</v>
      </c>
      <c r="K465" t="s">
        <v>26</v>
      </c>
    </row>
    <row r="466" spans="2:11" x14ac:dyDescent="0.25">
      <c r="B466">
        <v>462</v>
      </c>
      <c r="C466" s="1">
        <v>44675</v>
      </c>
      <c r="D466" t="s">
        <v>14</v>
      </c>
      <c r="E466" t="s">
        <v>11</v>
      </c>
      <c r="F466">
        <v>20</v>
      </c>
      <c r="G466">
        <v>3</v>
      </c>
      <c r="H466">
        <v>60</v>
      </c>
      <c r="I466" t="s">
        <v>15</v>
      </c>
      <c r="J466" t="s">
        <v>12</v>
      </c>
      <c r="K466" t="s">
        <v>23</v>
      </c>
    </row>
    <row r="467" spans="2:11" x14ac:dyDescent="0.25">
      <c r="B467">
        <v>463</v>
      </c>
      <c r="C467" s="1">
        <v>44723</v>
      </c>
      <c r="D467" t="s">
        <v>25</v>
      </c>
      <c r="E467" t="s">
        <v>11</v>
      </c>
      <c r="F467">
        <v>60</v>
      </c>
      <c r="G467">
        <v>6</v>
      </c>
      <c r="H467">
        <v>360</v>
      </c>
      <c r="I467" t="s">
        <v>19</v>
      </c>
      <c r="J467" t="s">
        <v>12</v>
      </c>
      <c r="K467" t="s">
        <v>26</v>
      </c>
    </row>
    <row r="468" spans="2:11" x14ac:dyDescent="0.25">
      <c r="B468">
        <v>464</v>
      </c>
      <c r="C468" s="1">
        <v>44852</v>
      </c>
      <c r="D468" t="s">
        <v>17</v>
      </c>
      <c r="E468" t="s">
        <v>18</v>
      </c>
      <c r="F468">
        <v>25</v>
      </c>
      <c r="G468">
        <v>13</v>
      </c>
      <c r="H468">
        <v>325</v>
      </c>
      <c r="I468" t="s">
        <v>15</v>
      </c>
      <c r="J468" t="s">
        <v>12</v>
      </c>
      <c r="K468" t="s">
        <v>23</v>
      </c>
    </row>
    <row r="469" spans="2:11" x14ac:dyDescent="0.25">
      <c r="B469">
        <v>465</v>
      </c>
      <c r="C469" s="1">
        <v>44941</v>
      </c>
      <c r="D469" t="s">
        <v>17</v>
      </c>
      <c r="E469" t="s">
        <v>18</v>
      </c>
      <c r="F469">
        <v>25</v>
      </c>
      <c r="G469">
        <v>12</v>
      </c>
      <c r="H469">
        <v>300</v>
      </c>
      <c r="I469" t="s">
        <v>19</v>
      </c>
      <c r="J469" t="s">
        <v>12</v>
      </c>
      <c r="K469" t="s">
        <v>20</v>
      </c>
    </row>
    <row r="470" spans="2:11" x14ac:dyDescent="0.25">
      <c r="B470">
        <v>466</v>
      </c>
      <c r="C470" s="1">
        <v>44937</v>
      </c>
      <c r="D470" t="s">
        <v>21</v>
      </c>
      <c r="E470" t="s">
        <v>11</v>
      </c>
      <c r="F470">
        <v>20</v>
      </c>
      <c r="G470">
        <v>6</v>
      </c>
      <c r="H470">
        <v>120</v>
      </c>
      <c r="I470" t="s">
        <v>15</v>
      </c>
      <c r="J470" t="s">
        <v>12</v>
      </c>
      <c r="K470" t="s">
        <v>20</v>
      </c>
    </row>
    <row r="471" spans="2:11" x14ac:dyDescent="0.25">
      <c r="B471">
        <v>467</v>
      </c>
      <c r="C471" s="1">
        <v>44851</v>
      </c>
      <c r="D471" t="s">
        <v>10</v>
      </c>
      <c r="E471" t="s">
        <v>11</v>
      </c>
      <c r="F471">
        <v>20</v>
      </c>
      <c r="G471">
        <v>11</v>
      </c>
      <c r="H471">
        <v>220</v>
      </c>
      <c r="I471" t="s">
        <v>19</v>
      </c>
      <c r="J471" t="s">
        <v>12</v>
      </c>
      <c r="K471" t="s">
        <v>23</v>
      </c>
    </row>
    <row r="472" spans="2:11" x14ac:dyDescent="0.25">
      <c r="B472">
        <v>468</v>
      </c>
      <c r="C472" s="1">
        <v>44812</v>
      </c>
      <c r="D472" t="s">
        <v>21</v>
      </c>
      <c r="E472" t="s">
        <v>11</v>
      </c>
      <c r="F472">
        <v>20</v>
      </c>
      <c r="G472">
        <v>2</v>
      </c>
      <c r="H472">
        <v>40</v>
      </c>
      <c r="I472" t="s">
        <v>15</v>
      </c>
      <c r="J472" t="s">
        <v>12</v>
      </c>
      <c r="K472" t="s">
        <v>20</v>
      </c>
    </row>
    <row r="473" spans="2:11" x14ac:dyDescent="0.25">
      <c r="B473">
        <v>469</v>
      </c>
      <c r="C473" s="1">
        <v>44696</v>
      </c>
      <c r="D473" t="s">
        <v>25</v>
      </c>
      <c r="E473" t="s">
        <v>11</v>
      </c>
      <c r="F473">
        <v>60</v>
      </c>
      <c r="G473">
        <v>7</v>
      </c>
      <c r="H473">
        <v>420</v>
      </c>
      <c r="I473" t="s">
        <v>19</v>
      </c>
      <c r="J473" t="s">
        <v>22</v>
      </c>
      <c r="K473" t="s">
        <v>23</v>
      </c>
    </row>
    <row r="474" spans="2:11" x14ac:dyDescent="0.25">
      <c r="B474">
        <v>470</v>
      </c>
      <c r="C474" s="1">
        <v>44833</v>
      </c>
      <c r="D474" t="s">
        <v>14</v>
      </c>
      <c r="E474" t="s">
        <v>11</v>
      </c>
      <c r="F474">
        <v>20</v>
      </c>
      <c r="G474">
        <v>8</v>
      </c>
      <c r="H474">
        <v>160</v>
      </c>
      <c r="I474" t="s">
        <v>15</v>
      </c>
      <c r="J474" t="s">
        <v>22</v>
      </c>
      <c r="K474" t="s">
        <v>23</v>
      </c>
    </row>
    <row r="475" spans="2:11" x14ac:dyDescent="0.25">
      <c r="B475">
        <v>471</v>
      </c>
      <c r="C475" s="1">
        <v>44970</v>
      </c>
      <c r="D475" t="s">
        <v>21</v>
      </c>
      <c r="E475" t="s">
        <v>11</v>
      </c>
      <c r="F475">
        <v>20</v>
      </c>
      <c r="G475">
        <v>7</v>
      </c>
      <c r="H475">
        <v>140</v>
      </c>
      <c r="I475" t="s">
        <v>15</v>
      </c>
      <c r="J475" t="s">
        <v>22</v>
      </c>
      <c r="K475" t="s">
        <v>16</v>
      </c>
    </row>
    <row r="476" spans="2:11" x14ac:dyDescent="0.25">
      <c r="B476">
        <v>472</v>
      </c>
      <c r="C476" s="1">
        <v>44937</v>
      </c>
      <c r="D476" t="s">
        <v>21</v>
      </c>
      <c r="E476" t="s">
        <v>11</v>
      </c>
      <c r="F476">
        <v>20</v>
      </c>
      <c r="G476">
        <v>10</v>
      </c>
      <c r="H476">
        <v>200</v>
      </c>
      <c r="J476" t="s">
        <v>12</v>
      </c>
      <c r="K476" t="s">
        <v>26</v>
      </c>
    </row>
    <row r="477" spans="2:11" x14ac:dyDescent="0.25">
      <c r="B477">
        <v>473</v>
      </c>
      <c r="C477" s="1">
        <v>44808</v>
      </c>
      <c r="D477" t="s">
        <v>25</v>
      </c>
      <c r="E477" t="s">
        <v>11</v>
      </c>
      <c r="F477">
        <v>60</v>
      </c>
      <c r="G477">
        <v>5</v>
      </c>
      <c r="H477">
        <v>300</v>
      </c>
      <c r="I477" t="s">
        <v>15</v>
      </c>
      <c r="J477" t="s">
        <v>22</v>
      </c>
      <c r="K477" t="s">
        <v>20</v>
      </c>
    </row>
    <row r="478" spans="2:11" x14ac:dyDescent="0.25">
      <c r="B478">
        <v>474</v>
      </c>
      <c r="C478" s="1">
        <v>44801</v>
      </c>
      <c r="D478" t="s">
        <v>17</v>
      </c>
      <c r="E478" t="s">
        <v>18</v>
      </c>
      <c r="F478">
        <v>25</v>
      </c>
      <c r="G478">
        <v>15</v>
      </c>
      <c r="H478">
        <v>375</v>
      </c>
      <c r="I478" t="s">
        <v>15</v>
      </c>
      <c r="J478" t="s">
        <v>22</v>
      </c>
      <c r="K478" t="s">
        <v>13</v>
      </c>
    </row>
    <row r="479" spans="2:11" x14ac:dyDescent="0.25">
      <c r="B479">
        <v>475</v>
      </c>
      <c r="C479" s="1">
        <v>44981</v>
      </c>
      <c r="D479" t="s">
        <v>27</v>
      </c>
      <c r="E479" t="s">
        <v>18</v>
      </c>
      <c r="F479">
        <v>40</v>
      </c>
      <c r="G479">
        <v>6</v>
      </c>
      <c r="H479">
        <v>240</v>
      </c>
      <c r="I479" t="s">
        <v>15</v>
      </c>
      <c r="J479" t="s">
        <v>22</v>
      </c>
      <c r="K479" t="s">
        <v>13</v>
      </c>
    </row>
    <row r="480" spans="2:11" x14ac:dyDescent="0.25">
      <c r="B480">
        <v>476</v>
      </c>
      <c r="C480" s="1">
        <v>44959</v>
      </c>
      <c r="D480" t="s">
        <v>10</v>
      </c>
      <c r="E480" t="s">
        <v>11</v>
      </c>
      <c r="F480">
        <v>20</v>
      </c>
      <c r="G480">
        <v>10</v>
      </c>
      <c r="H480">
        <v>200</v>
      </c>
      <c r="I480" t="s">
        <v>15</v>
      </c>
      <c r="J480" t="s">
        <v>12</v>
      </c>
      <c r="K480" t="s">
        <v>23</v>
      </c>
    </row>
    <row r="481" spans="2:11" x14ac:dyDescent="0.25">
      <c r="B481">
        <v>477</v>
      </c>
      <c r="C481" s="1">
        <v>44970</v>
      </c>
      <c r="D481" t="s">
        <v>25</v>
      </c>
      <c r="E481" t="s">
        <v>11</v>
      </c>
      <c r="F481">
        <v>60</v>
      </c>
      <c r="G481">
        <v>15</v>
      </c>
      <c r="H481">
        <v>900</v>
      </c>
      <c r="I481" t="s">
        <v>15</v>
      </c>
      <c r="J481" t="s">
        <v>22</v>
      </c>
      <c r="K481" t="s">
        <v>26</v>
      </c>
    </row>
    <row r="482" spans="2:11" x14ac:dyDescent="0.25">
      <c r="B482">
        <v>478</v>
      </c>
      <c r="C482" s="1">
        <v>44922</v>
      </c>
      <c r="D482" t="s">
        <v>17</v>
      </c>
      <c r="E482" t="s">
        <v>18</v>
      </c>
      <c r="F482">
        <v>25</v>
      </c>
      <c r="G482">
        <v>9</v>
      </c>
      <c r="H482">
        <v>225</v>
      </c>
      <c r="I482" t="s">
        <v>15</v>
      </c>
      <c r="J482" t="s">
        <v>22</v>
      </c>
      <c r="K482" t="s">
        <v>16</v>
      </c>
    </row>
    <row r="483" spans="2:11" x14ac:dyDescent="0.25">
      <c r="B483">
        <v>479</v>
      </c>
      <c r="C483" s="1">
        <v>44970</v>
      </c>
      <c r="D483" t="s">
        <v>25</v>
      </c>
      <c r="E483" t="s">
        <v>11</v>
      </c>
      <c r="F483">
        <v>60</v>
      </c>
      <c r="G483">
        <v>11</v>
      </c>
      <c r="H483">
        <v>660</v>
      </c>
      <c r="I483" t="s">
        <v>15</v>
      </c>
      <c r="J483" t="s">
        <v>22</v>
      </c>
      <c r="K483" t="s">
        <v>16</v>
      </c>
    </row>
    <row r="484" spans="2:11" x14ac:dyDescent="0.25">
      <c r="B484">
        <v>480</v>
      </c>
      <c r="C484" s="1">
        <v>44836</v>
      </c>
      <c r="D484" t="s">
        <v>14</v>
      </c>
      <c r="E484" t="s">
        <v>11</v>
      </c>
      <c r="F484">
        <v>20</v>
      </c>
      <c r="G484">
        <v>12</v>
      </c>
      <c r="H484">
        <v>240</v>
      </c>
      <c r="I484" t="s">
        <v>15</v>
      </c>
      <c r="J484" t="s">
        <v>12</v>
      </c>
      <c r="K484" t="s">
        <v>20</v>
      </c>
    </row>
    <row r="485" spans="2:11" x14ac:dyDescent="0.25">
      <c r="B485">
        <v>481</v>
      </c>
      <c r="C485" s="1">
        <v>44863</v>
      </c>
      <c r="D485" t="s">
        <v>17</v>
      </c>
      <c r="E485" t="s">
        <v>18</v>
      </c>
      <c r="F485">
        <v>25</v>
      </c>
      <c r="G485">
        <v>4</v>
      </c>
      <c r="H485">
        <v>100</v>
      </c>
      <c r="I485" t="s">
        <v>15</v>
      </c>
      <c r="J485" t="s">
        <v>12</v>
      </c>
      <c r="K485" t="s">
        <v>20</v>
      </c>
    </row>
    <row r="486" spans="2:11" x14ac:dyDescent="0.25">
      <c r="B486">
        <v>482</v>
      </c>
      <c r="C486" s="1">
        <v>44957</v>
      </c>
      <c r="D486" t="s">
        <v>10</v>
      </c>
      <c r="E486" t="s">
        <v>11</v>
      </c>
      <c r="F486">
        <v>20</v>
      </c>
      <c r="G486">
        <v>1</v>
      </c>
      <c r="H486">
        <v>20</v>
      </c>
      <c r="I486" t="s">
        <v>19</v>
      </c>
      <c r="J486" t="s">
        <v>12</v>
      </c>
      <c r="K486" t="s">
        <v>16</v>
      </c>
    </row>
    <row r="487" spans="2:11" x14ac:dyDescent="0.25">
      <c r="B487">
        <v>483</v>
      </c>
      <c r="C487" s="1">
        <v>44678</v>
      </c>
      <c r="D487" t="s">
        <v>21</v>
      </c>
      <c r="E487" t="s">
        <v>11</v>
      </c>
      <c r="F487">
        <v>20</v>
      </c>
      <c r="G487">
        <v>9</v>
      </c>
      <c r="H487">
        <v>180</v>
      </c>
      <c r="I487" t="s">
        <v>15</v>
      </c>
      <c r="J487" t="s">
        <v>22</v>
      </c>
      <c r="K487" t="s">
        <v>23</v>
      </c>
    </row>
    <row r="488" spans="2:11" x14ac:dyDescent="0.25">
      <c r="B488">
        <v>484</v>
      </c>
      <c r="C488" s="1">
        <v>45006</v>
      </c>
      <c r="D488" t="s">
        <v>27</v>
      </c>
      <c r="E488" t="s">
        <v>18</v>
      </c>
      <c r="F488">
        <v>40</v>
      </c>
      <c r="G488">
        <v>5</v>
      </c>
      <c r="H488">
        <v>200</v>
      </c>
      <c r="I488" t="s">
        <v>15</v>
      </c>
      <c r="J488" t="s">
        <v>22</v>
      </c>
      <c r="K488" t="s">
        <v>16</v>
      </c>
    </row>
    <row r="489" spans="2:11" x14ac:dyDescent="0.25">
      <c r="B489">
        <v>485</v>
      </c>
      <c r="C489" s="1">
        <v>44983</v>
      </c>
      <c r="D489" t="s">
        <v>10</v>
      </c>
      <c r="E489" t="s">
        <v>11</v>
      </c>
      <c r="F489">
        <v>20</v>
      </c>
      <c r="G489">
        <v>6</v>
      </c>
      <c r="H489">
        <v>120</v>
      </c>
      <c r="I489" t="s">
        <v>15</v>
      </c>
      <c r="J489" t="s">
        <v>22</v>
      </c>
      <c r="K489" t="s">
        <v>26</v>
      </c>
    </row>
    <row r="490" spans="2:11" x14ac:dyDescent="0.25">
      <c r="B490">
        <v>486</v>
      </c>
      <c r="C490" s="1">
        <v>44971</v>
      </c>
      <c r="D490" t="s">
        <v>14</v>
      </c>
      <c r="E490" t="s">
        <v>11</v>
      </c>
      <c r="F490">
        <v>20</v>
      </c>
      <c r="G490">
        <v>6</v>
      </c>
      <c r="H490">
        <v>120</v>
      </c>
      <c r="I490" t="s">
        <v>15</v>
      </c>
      <c r="J490" t="s">
        <v>22</v>
      </c>
      <c r="K490" t="s">
        <v>26</v>
      </c>
    </row>
    <row r="491" spans="2:11" x14ac:dyDescent="0.25">
      <c r="B491">
        <v>487</v>
      </c>
      <c r="C491" s="1">
        <v>44708</v>
      </c>
      <c r="D491" t="s">
        <v>25</v>
      </c>
      <c r="E491" t="s">
        <v>11</v>
      </c>
      <c r="F491">
        <v>60</v>
      </c>
      <c r="G491">
        <v>9</v>
      </c>
      <c r="H491">
        <v>540</v>
      </c>
      <c r="I491" t="s">
        <v>15</v>
      </c>
      <c r="J491" t="s">
        <v>22</v>
      </c>
      <c r="K491" t="s">
        <v>26</v>
      </c>
    </row>
    <row r="492" spans="2:11" x14ac:dyDescent="0.25">
      <c r="B492">
        <v>488</v>
      </c>
      <c r="C492" s="1">
        <v>44825</v>
      </c>
      <c r="D492" t="s">
        <v>27</v>
      </c>
      <c r="E492" t="s">
        <v>18</v>
      </c>
      <c r="F492">
        <v>40</v>
      </c>
      <c r="G492">
        <v>10</v>
      </c>
      <c r="H492">
        <v>400</v>
      </c>
      <c r="I492" t="s">
        <v>15</v>
      </c>
      <c r="J492" t="s">
        <v>12</v>
      </c>
      <c r="K492" t="s">
        <v>26</v>
      </c>
    </row>
    <row r="493" spans="2:11" x14ac:dyDescent="0.25">
      <c r="B493">
        <v>489</v>
      </c>
      <c r="C493" s="1">
        <v>44960</v>
      </c>
      <c r="D493" t="s">
        <v>24</v>
      </c>
      <c r="E493" t="s">
        <v>11</v>
      </c>
      <c r="F493">
        <v>50</v>
      </c>
      <c r="G493">
        <v>13</v>
      </c>
      <c r="H493">
        <v>650</v>
      </c>
      <c r="I493" t="s">
        <v>19</v>
      </c>
      <c r="J493" t="s">
        <v>22</v>
      </c>
      <c r="K493" t="s">
        <v>20</v>
      </c>
    </row>
    <row r="494" spans="2:11" x14ac:dyDescent="0.25">
      <c r="B494">
        <v>490</v>
      </c>
      <c r="C494" s="1">
        <v>44921</v>
      </c>
      <c r="D494" t="s">
        <v>27</v>
      </c>
      <c r="E494" t="s">
        <v>18</v>
      </c>
      <c r="F494">
        <v>40</v>
      </c>
      <c r="G494">
        <v>8</v>
      </c>
      <c r="H494">
        <v>320</v>
      </c>
      <c r="I494" t="s">
        <v>15</v>
      </c>
      <c r="J494" t="s">
        <v>12</v>
      </c>
      <c r="K494" t="s">
        <v>23</v>
      </c>
    </row>
    <row r="495" spans="2:11" x14ac:dyDescent="0.25">
      <c r="B495">
        <v>491</v>
      </c>
      <c r="C495" s="1">
        <v>44712</v>
      </c>
      <c r="D495" t="s">
        <v>14</v>
      </c>
      <c r="E495" t="s">
        <v>11</v>
      </c>
      <c r="F495">
        <v>20</v>
      </c>
      <c r="G495">
        <v>2</v>
      </c>
      <c r="H495">
        <v>40</v>
      </c>
      <c r="I495" t="s">
        <v>19</v>
      </c>
      <c r="J495" t="s">
        <v>22</v>
      </c>
      <c r="K495" t="s">
        <v>26</v>
      </c>
    </row>
    <row r="496" spans="2:11" x14ac:dyDescent="0.25">
      <c r="B496">
        <v>492</v>
      </c>
      <c r="C496" s="1">
        <v>44753</v>
      </c>
      <c r="D496" t="s">
        <v>25</v>
      </c>
      <c r="E496" t="s">
        <v>11</v>
      </c>
      <c r="F496">
        <v>60</v>
      </c>
      <c r="G496">
        <v>15</v>
      </c>
      <c r="H496">
        <v>900</v>
      </c>
      <c r="I496" t="s">
        <v>15</v>
      </c>
      <c r="J496" t="s">
        <v>12</v>
      </c>
      <c r="K496" t="s">
        <v>16</v>
      </c>
    </row>
    <row r="497" spans="2:11" x14ac:dyDescent="0.25">
      <c r="B497">
        <v>493</v>
      </c>
      <c r="C497" s="1">
        <v>44836</v>
      </c>
      <c r="D497" t="s">
        <v>27</v>
      </c>
      <c r="E497" t="s">
        <v>18</v>
      </c>
      <c r="F497">
        <v>40</v>
      </c>
      <c r="G497">
        <v>2</v>
      </c>
      <c r="H497">
        <v>80</v>
      </c>
      <c r="I497" t="s">
        <v>19</v>
      </c>
      <c r="J497" t="s">
        <v>12</v>
      </c>
      <c r="K497" t="s">
        <v>23</v>
      </c>
    </row>
    <row r="498" spans="2:11" x14ac:dyDescent="0.25">
      <c r="B498">
        <v>494</v>
      </c>
      <c r="C498" s="1">
        <v>44940</v>
      </c>
      <c r="D498" t="s">
        <v>27</v>
      </c>
      <c r="E498" t="s">
        <v>18</v>
      </c>
      <c r="F498">
        <v>40</v>
      </c>
      <c r="G498">
        <v>10</v>
      </c>
      <c r="H498">
        <v>400</v>
      </c>
      <c r="I498" t="s">
        <v>15</v>
      </c>
      <c r="J498" t="s">
        <v>22</v>
      </c>
      <c r="K498" t="s">
        <v>13</v>
      </c>
    </row>
    <row r="499" spans="2:11" x14ac:dyDescent="0.25">
      <c r="B499">
        <v>495</v>
      </c>
      <c r="C499" s="1">
        <v>44854</v>
      </c>
      <c r="D499" t="s">
        <v>10</v>
      </c>
      <c r="E499" t="s">
        <v>11</v>
      </c>
      <c r="F499">
        <v>20</v>
      </c>
      <c r="G499">
        <v>13</v>
      </c>
      <c r="H499">
        <v>260</v>
      </c>
      <c r="I499" t="s">
        <v>19</v>
      </c>
      <c r="J499" t="s">
        <v>22</v>
      </c>
      <c r="K499" t="s">
        <v>26</v>
      </c>
    </row>
    <row r="500" spans="2:11" x14ac:dyDescent="0.25">
      <c r="B500">
        <v>496</v>
      </c>
      <c r="C500" s="1">
        <v>44872</v>
      </c>
      <c r="D500" t="s">
        <v>27</v>
      </c>
      <c r="E500" t="s">
        <v>18</v>
      </c>
      <c r="F500">
        <v>40</v>
      </c>
      <c r="G500">
        <v>10</v>
      </c>
      <c r="H500">
        <v>400</v>
      </c>
      <c r="I500" t="s">
        <v>19</v>
      </c>
      <c r="J500" t="s">
        <v>22</v>
      </c>
      <c r="K500" t="s">
        <v>13</v>
      </c>
    </row>
    <row r="501" spans="2:11" x14ac:dyDescent="0.25">
      <c r="B501">
        <v>497</v>
      </c>
      <c r="C501" s="1">
        <v>44951</v>
      </c>
      <c r="D501" t="s">
        <v>25</v>
      </c>
      <c r="E501" t="s">
        <v>11</v>
      </c>
      <c r="F501">
        <v>60</v>
      </c>
      <c r="G501">
        <v>7</v>
      </c>
      <c r="H501">
        <v>420</v>
      </c>
      <c r="I501" t="s">
        <v>15</v>
      </c>
      <c r="J501" t="s">
        <v>12</v>
      </c>
      <c r="K501" t="s">
        <v>26</v>
      </c>
    </row>
    <row r="502" spans="2:11" x14ac:dyDescent="0.25">
      <c r="B502">
        <v>498</v>
      </c>
      <c r="C502" s="1">
        <v>44728</v>
      </c>
      <c r="D502" t="s">
        <v>24</v>
      </c>
      <c r="E502" t="s">
        <v>11</v>
      </c>
      <c r="F502">
        <v>50</v>
      </c>
      <c r="G502">
        <v>1</v>
      </c>
      <c r="H502">
        <v>50</v>
      </c>
      <c r="I502" t="s">
        <v>15</v>
      </c>
      <c r="J502" t="s">
        <v>12</v>
      </c>
      <c r="K502" t="s">
        <v>26</v>
      </c>
    </row>
    <row r="503" spans="2:11" x14ac:dyDescent="0.25">
      <c r="B503">
        <v>499</v>
      </c>
      <c r="C503" s="1">
        <v>44769</v>
      </c>
      <c r="D503" t="s">
        <v>25</v>
      </c>
      <c r="E503" t="s">
        <v>11</v>
      </c>
      <c r="F503">
        <v>60</v>
      </c>
      <c r="G503">
        <v>8</v>
      </c>
      <c r="H503">
        <v>480</v>
      </c>
      <c r="I503" t="s">
        <v>19</v>
      </c>
      <c r="J503" t="s">
        <v>22</v>
      </c>
      <c r="K503" t="s">
        <v>20</v>
      </c>
    </row>
    <row r="504" spans="2:11" x14ac:dyDescent="0.25">
      <c r="B504">
        <v>500</v>
      </c>
      <c r="C504" s="1">
        <v>44659</v>
      </c>
      <c r="D504" t="s">
        <v>14</v>
      </c>
      <c r="E504" t="s">
        <v>11</v>
      </c>
      <c r="F504">
        <v>20</v>
      </c>
      <c r="G504">
        <v>4</v>
      </c>
      <c r="H504">
        <v>80</v>
      </c>
      <c r="I504" t="s">
        <v>19</v>
      </c>
      <c r="J504" t="s">
        <v>22</v>
      </c>
      <c r="K504" t="s">
        <v>26</v>
      </c>
    </row>
    <row r="505" spans="2:11" x14ac:dyDescent="0.25">
      <c r="B505">
        <v>501</v>
      </c>
      <c r="C505" s="1">
        <v>44782</v>
      </c>
      <c r="D505" t="s">
        <v>17</v>
      </c>
      <c r="E505" t="s">
        <v>18</v>
      </c>
      <c r="F505">
        <v>25</v>
      </c>
      <c r="G505">
        <v>14</v>
      </c>
      <c r="H505">
        <v>350</v>
      </c>
      <c r="I505" t="s">
        <v>19</v>
      </c>
      <c r="J505" t="s">
        <v>22</v>
      </c>
      <c r="K505" t="s">
        <v>16</v>
      </c>
    </row>
    <row r="506" spans="2:11" x14ac:dyDescent="0.25">
      <c r="B506">
        <v>502</v>
      </c>
      <c r="C506" s="1">
        <v>44930</v>
      </c>
      <c r="D506" t="s">
        <v>21</v>
      </c>
      <c r="E506" t="s">
        <v>11</v>
      </c>
      <c r="F506">
        <v>20</v>
      </c>
      <c r="G506">
        <v>13</v>
      </c>
      <c r="H506">
        <v>260</v>
      </c>
      <c r="I506" t="s">
        <v>19</v>
      </c>
      <c r="J506" t="s">
        <v>12</v>
      </c>
      <c r="K506" t="s">
        <v>13</v>
      </c>
    </row>
    <row r="507" spans="2:11" x14ac:dyDescent="0.25">
      <c r="B507">
        <v>503</v>
      </c>
      <c r="C507" s="1">
        <v>44869</v>
      </c>
      <c r="D507" t="s">
        <v>10</v>
      </c>
      <c r="E507" t="s">
        <v>11</v>
      </c>
      <c r="F507">
        <v>20</v>
      </c>
      <c r="G507">
        <v>13</v>
      </c>
      <c r="H507">
        <v>260</v>
      </c>
      <c r="I507" t="s">
        <v>15</v>
      </c>
      <c r="J507" t="s">
        <v>22</v>
      </c>
      <c r="K507" t="s">
        <v>23</v>
      </c>
    </row>
    <row r="508" spans="2:11" x14ac:dyDescent="0.25">
      <c r="B508">
        <v>504</v>
      </c>
      <c r="C508" s="1">
        <v>44904</v>
      </c>
      <c r="D508" t="s">
        <v>27</v>
      </c>
      <c r="E508" t="s">
        <v>18</v>
      </c>
      <c r="F508">
        <v>40</v>
      </c>
      <c r="G508">
        <v>8</v>
      </c>
      <c r="H508">
        <v>320</v>
      </c>
      <c r="I508" t="s">
        <v>15</v>
      </c>
      <c r="J508" t="s">
        <v>12</v>
      </c>
      <c r="K508" t="s">
        <v>20</v>
      </c>
    </row>
    <row r="509" spans="2:11" x14ac:dyDescent="0.25">
      <c r="B509">
        <v>505</v>
      </c>
      <c r="C509" s="1">
        <v>44969</v>
      </c>
      <c r="D509" t="s">
        <v>24</v>
      </c>
      <c r="E509" t="s">
        <v>11</v>
      </c>
      <c r="F509">
        <v>50</v>
      </c>
      <c r="G509">
        <v>4</v>
      </c>
      <c r="H509">
        <v>200</v>
      </c>
      <c r="I509" t="s">
        <v>15</v>
      </c>
      <c r="J509" t="s">
        <v>12</v>
      </c>
      <c r="K509" t="s">
        <v>13</v>
      </c>
    </row>
    <row r="510" spans="2:11" x14ac:dyDescent="0.25">
      <c r="B510">
        <v>506</v>
      </c>
      <c r="C510" s="1">
        <v>44921</v>
      </c>
      <c r="D510" t="s">
        <v>27</v>
      </c>
      <c r="E510" t="s">
        <v>18</v>
      </c>
      <c r="F510">
        <v>40</v>
      </c>
      <c r="G510">
        <v>12</v>
      </c>
      <c r="H510">
        <v>480</v>
      </c>
      <c r="I510" t="s">
        <v>15</v>
      </c>
      <c r="J510" t="s">
        <v>22</v>
      </c>
      <c r="K510" t="s">
        <v>26</v>
      </c>
    </row>
    <row r="511" spans="2:11" x14ac:dyDescent="0.25">
      <c r="B511">
        <v>507</v>
      </c>
      <c r="C511" s="1">
        <v>44909</v>
      </c>
      <c r="D511" t="s">
        <v>10</v>
      </c>
      <c r="E511" t="s">
        <v>11</v>
      </c>
      <c r="F511">
        <v>20</v>
      </c>
      <c r="G511">
        <v>14</v>
      </c>
      <c r="H511">
        <v>280</v>
      </c>
      <c r="I511" t="s">
        <v>19</v>
      </c>
      <c r="J511" t="s">
        <v>22</v>
      </c>
      <c r="K511" t="s">
        <v>23</v>
      </c>
    </row>
    <row r="512" spans="2:11" x14ac:dyDescent="0.25">
      <c r="B512">
        <v>508</v>
      </c>
      <c r="C512" s="1">
        <v>44905</v>
      </c>
      <c r="D512" t="s">
        <v>25</v>
      </c>
      <c r="E512" t="s">
        <v>11</v>
      </c>
      <c r="F512">
        <v>60</v>
      </c>
      <c r="G512">
        <v>1</v>
      </c>
      <c r="H512">
        <v>60</v>
      </c>
      <c r="I512" t="s">
        <v>15</v>
      </c>
      <c r="J512" t="s">
        <v>12</v>
      </c>
      <c r="K512" t="s">
        <v>13</v>
      </c>
    </row>
    <row r="513" spans="2:11" x14ac:dyDescent="0.25">
      <c r="B513">
        <v>509</v>
      </c>
      <c r="C513" s="1">
        <v>44860</v>
      </c>
      <c r="D513" t="s">
        <v>14</v>
      </c>
      <c r="E513" t="s">
        <v>11</v>
      </c>
      <c r="F513">
        <v>20</v>
      </c>
      <c r="G513">
        <v>11</v>
      </c>
      <c r="H513">
        <v>220</v>
      </c>
      <c r="I513" t="s">
        <v>19</v>
      </c>
      <c r="J513" t="s">
        <v>12</v>
      </c>
      <c r="K513" t="s">
        <v>20</v>
      </c>
    </row>
    <row r="514" spans="2:11" x14ac:dyDescent="0.25">
      <c r="B514">
        <v>510</v>
      </c>
      <c r="C514" s="1">
        <v>44655</v>
      </c>
      <c r="D514" t="s">
        <v>25</v>
      </c>
      <c r="E514" t="s">
        <v>11</v>
      </c>
      <c r="F514">
        <v>60</v>
      </c>
      <c r="G514">
        <v>14</v>
      </c>
      <c r="H514">
        <v>840</v>
      </c>
      <c r="I514" t="s">
        <v>19</v>
      </c>
      <c r="J514" t="s">
        <v>12</v>
      </c>
      <c r="K514" t="s">
        <v>16</v>
      </c>
    </row>
    <row r="515" spans="2:11" x14ac:dyDescent="0.25">
      <c r="B515">
        <v>511</v>
      </c>
      <c r="C515" s="1">
        <v>44775</v>
      </c>
      <c r="D515" t="s">
        <v>21</v>
      </c>
      <c r="E515" t="s">
        <v>11</v>
      </c>
      <c r="F515">
        <v>20</v>
      </c>
      <c r="G515">
        <v>4</v>
      </c>
      <c r="H515">
        <v>80</v>
      </c>
      <c r="I515" t="s">
        <v>15</v>
      </c>
      <c r="J515" t="s">
        <v>22</v>
      </c>
      <c r="K515" t="s">
        <v>13</v>
      </c>
    </row>
    <row r="516" spans="2:11" x14ac:dyDescent="0.25">
      <c r="B516">
        <v>512</v>
      </c>
      <c r="C516" s="1">
        <v>44937</v>
      </c>
      <c r="D516" t="s">
        <v>21</v>
      </c>
      <c r="E516" t="s">
        <v>11</v>
      </c>
      <c r="F516">
        <v>20</v>
      </c>
      <c r="G516">
        <v>3</v>
      </c>
      <c r="H516">
        <v>60</v>
      </c>
      <c r="I516" t="s">
        <v>15</v>
      </c>
      <c r="J516" t="s">
        <v>22</v>
      </c>
      <c r="K516" t="s">
        <v>16</v>
      </c>
    </row>
    <row r="517" spans="2:11" x14ac:dyDescent="0.25">
      <c r="B517">
        <v>513</v>
      </c>
      <c r="C517" s="1">
        <v>44758</v>
      </c>
      <c r="D517" t="s">
        <v>27</v>
      </c>
      <c r="E517" t="s">
        <v>18</v>
      </c>
      <c r="F517">
        <v>40</v>
      </c>
      <c r="G517">
        <v>5</v>
      </c>
      <c r="H517">
        <v>200</v>
      </c>
      <c r="I517" t="s">
        <v>15</v>
      </c>
      <c r="J517" t="s">
        <v>22</v>
      </c>
      <c r="K517" t="s">
        <v>13</v>
      </c>
    </row>
    <row r="518" spans="2:11" x14ac:dyDescent="0.25">
      <c r="B518">
        <v>514</v>
      </c>
      <c r="C518" s="1">
        <v>44797</v>
      </c>
      <c r="D518" t="s">
        <v>27</v>
      </c>
      <c r="E518" t="s">
        <v>18</v>
      </c>
      <c r="F518">
        <v>40</v>
      </c>
      <c r="G518">
        <v>8</v>
      </c>
      <c r="H518">
        <v>320</v>
      </c>
      <c r="I518" t="s">
        <v>19</v>
      </c>
      <c r="J518" t="s">
        <v>22</v>
      </c>
      <c r="K518" t="s">
        <v>20</v>
      </c>
    </row>
    <row r="519" spans="2:11" x14ac:dyDescent="0.25">
      <c r="B519">
        <v>515</v>
      </c>
      <c r="C519" s="1">
        <v>44867</v>
      </c>
      <c r="D519" t="s">
        <v>25</v>
      </c>
      <c r="E519" t="s">
        <v>11</v>
      </c>
      <c r="F519">
        <v>60</v>
      </c>
      <c r="G519">
        <v>7</v>
      </c>
      <c r="H519">
        <v>420</v>
      </c>
      <c r="J519" t="s">
        <v>22</v>
      </c>
      <c r="K519" t="s">
        <v>13</v>
      </c>
    </row>
    <row r="520" spans="2:11" x14ac:dyDescent="0.25">
      <c r="B520">
        <v>516</v>
      </c>
      <c r="C520" s="1">
        <v>44826</v>
      </c>
      <c r="D520" t="s">
        <v>17</v>
      </c>
      <c r="E520" t="s">
        <v>18</v>
      </c>
      <c r="F520">
        <v>25</v>
      </c>
      <c r="G520">
        <v>12</v>
      </c>
      <c r="H520">
        <v>300</v>
      </c>
      <c r="I520" t="s">
        <v>19</v>
      </c>
      <c r="J520" t="s">
        <v>22</v>
      </c>
      <c r="K520" t="s">
        <v>26</v>
      </c>
    </row>
    <row r="521" spans="2:11" x14ac:dyDescent="0.25">
      <c r="B521">
        <v>517</v>
      </c>
      <c r="C521" s="1">
        <v>44744</v>
      </c>
      <c r="D521" t="s">
        <v>21</v>
      </c>
      <c r="E521" t="s">
        <v>11</v>
      </c>
      <c r="F521">
        <v>20</v>
      </c>
      <c r="G521">
        <v>13</v>
      </c>
      <c r="H521">
        <v>260</v>
      </c>
      <c r="I521" t="s">
        <v>19</v>
      </c>
      <c r="J521" t="s">
        <v>12</v>
      </c>
      <c r="K521" t="s">
        <v>20</v>
      </c>
    </row>
    <row r="522" spans="2:11" x14ac:dyDescent="0.25">
      <c r="B522">
        <v>518</v>
      </c>
      <c r="C522" s="1">
        <v>44904</v>
      </c>
      <c r="D522" t="s">
        <v>10</v>
      </c>
      <c r="E522" t="s">
        <v>11</v>
      </c>
      <c r="F522">
        <v>20</v>
      </c>
      <c r="G522">
        <v>6</v>
      </c>
      <c r="H522">
        <v>120</v>
      </c>
      <c r="I522" t="s">
        <v>15</v>
      </c>
      <c r="J522" t="s">
        <v>22</v>
      </c>
      <c r="K522" t="s">
        <v>23</v>
      </c>
    </row>
    <row r="523" spans="2:11" x14ac:dyDescent="0.25">
      <c r="B523">
        <v>519</v>
      </c>
      <c r="C523" s="1">
        <v>44890</v>
      </c>
      <c r="D523" t="s">
        <v>27</v>
      </c>
      <c r="E523" t="s">
        <v>18</v>
      </c>
      <c r="F523">
        <v>40</v>
      </c>
      <c r="G523">
        <v>10</v>
      </c>
      <c r="H523">
        <v>400</v>
      </c>
      <c r="I523" t="s">
        <v>15</v>
      </c>
      <c r="J523" t="s">
        <v>12</v>
      </c>
      <c r="K523" t="s">
        <v>23</v>
      </c>
    </row>
    <row r="524" spans="2:11" x14ac:dyDescent="0.25">
      <c r="B524">
        <v>520</v>
      </c>
      <c r="C524" s="1">
        <v>44654</v>
      </c>
      <c r="D524" t="s">
        <v>21</v>
      </c>
      <c r="E524" t="s">
        <v>11</v>
      </c>
      <c r="F524">
        <v>20</v>
      </c>
      <c r="G524">
        <v>11</v>
      </c>
      <c r="H524">
        <v>220</v>
      </c>
      <c r="I524" t="s">
        <v>19</v>
      </c>
      <c r="J524" t="s">
        <v>22</v>
      </c>
      <c r="K524" t="s">
        <v>13</v>
      </c>
    </row>
    <row r="525" spans="2:11" x14ac:dyDescent="0.25">
      <c r="B525">
        <v>521</v>
      </c>
      <c r="C525" s="1">
        <v>44953</v>
      </c>
      <c r="D525" t="s">
        <v>21</v>
      </c>
      <c r="E525" t="s">
        <v>11</v>
      </c>
      <c r="F525">
        <v>20</v>
      </c>
      <c r="G525">
        <v>14</v>
      </c>
      <c r="H525">
        <v>280</v>
      </c>
      <c r="I525" t="s">
        <v>19</v>
      </c>
      <c r="J525" t="s">
        <v>12</v>
      </c>
      <c r="K525" t="s">
        <v>23</v>
      </c>
    </row>
    <row r="526" spans="2:11" x14ac:dyDescent="0.25">
      <c r="B526">
        <v>522</v>
      </c>
      <c r="C526" s="1">
        <v>44924</v>
      </c>
      <c r="D526" t="s">
        <v>21</v>
      </c>
      <c r="E526" t="s">
        <v>11</v>
      </c>
      <c r="F526">
        <v>20</v>
      </c>
      <c r="G526">
        <v>13</v>
      </c>
      <c r="H526">
        <v>260</v>
      </c>
      <c r="I526" t="s">
        <v>15</v>
      </c>
      <c r="J526" t="s">
        <v>22</v>
      </c>
      <c r="K526" t="s">
        <v>26</v>
      </c>
    </row>
    <row r="527" spans="2:11" x14ac:dyDescent="0.25">
      <c r="B527">
        <v>523</v>
      </c>
      <c r="C527" s="1">
        <v>44868</v>
      </c>
      <c r="D527" t="s">
        <v>24</v>
      </c>
      <c r="E527" t="s">
        <v>11</v>
      </c>
      <c r="F527">
        <v>50</v>
      </c>
      <c r="G527">
        <v>6</v>
      </c>
      <c r="H527">
        <v>300</v>
      </c>
      <c r="I527" t="s">
        <v>15</v>
      </c>
      <c r="J527" t="s">
        <v>12</v>
      </c>
      <c r="K527" t="s">
        <v>16</v>
      </c>
    </row>
    <row r="528" spans="2:11" x14ac:dyDescent="0.25">
      <c r="B528">
        <v>524</v>
      </c>
      <c r="C528" s="1">
        <v>44682</v>
      </c>
      <c r="D528" t="s">
        <v>10</v>
      </c>
      <c r="E528" t="s">
        <v>11</v>
      </c>
      <c r="F528">
        <v>20</v>
      </c>
      <c r="G528">
        <v>13</v>
      </c>
      <c r="H528">
        <v>260</v>
      </c>
      <c r="I528" t="s">
        <v>19</v>
      </c>
      <c r="J528" t="s">
        <v>12</v>
      </c>
      <c r="K528" t="s">
        <v>16</v>
      </c>
    </row>
    <row r="529" spans="2:11" x14ac:dyDescent="0.25">
      <c r="B529">
        <v>525</v>
      </c>
      <c r="C529" s="1">
        <v>44685</v>
      </c>
      <c r="D529" t="s">
        <v>14</v>
      </c>
      <c r="E529" t="s">
        <v>11</v>
      </c>
      <c r="F529">
        <v>20</v>
      </c>
      <c r="G529">
        <v>3</v>
      </c>
      <c r="H529">
        <v>60</v>
      </c>
      <c r="I529" t="s">
        <v>15</v>
      </c>
      <c r="J529" t="s">
        <v>12</v>
      </c>
      <c r="K529" t="s">
        <v>26</v>
      </c>
    </row>
    <row r="530" spans="2:11" x14ac:dyDescent="0.25">
      <c r="B530">
        <v>526</v>
      </c>
      <c r="C530" s="1">
        <v>44746</v>
      </c>
      <c r="D530" t="s">
        <v>25</v>
      </c>
      <c r="E530" t="s">
        <v>11</v>
      </c>
      <c r="F530">
        <v>60</v>
      </c>
      <c r="G530">
        <v>10</v>
      </c>
      <c r="H530">
        <v>600</v>
      </c>
      <c r="I530" t="s">
        <v>15</v>
      </c>
      <c r="J530" t="s">
        <v>22</v>
      </c>
      <c r="K530" t="s">
        <v>20</v>
      </c>
    </row>
    <row r="531" spans="2:11" x14ac:dyDescent="0.25">
      <c r="B531">
        <v>527</v>
      </c>
      <c r="C531" s="1">
        <v>44932</v>
      </c>
      <c r="D531" t="s">
        <v>17</v>
      </c>
      <c r="E531" t="s">
        <v>18</v>
      </c>
      <c r="F531">
        <v>25</v>
      </c>
      <c r="G531">
        <v>6</v>
      </c>
      <c r="H531">
        <v>150</v>
      </c>
      <c r="I531" t="s">
        <v>15</v>
      </c>
      <c r="J531" t="s">
        <v>22</v>
      </c>
      <c r="K531" t="s">
        <v>16</v>
      </c>
    </row>
    <row r="532" spans="2:11" x14ac:dyDescent="0.25">
      <c r="B532">
        <v>528</v>
      </c>
      <c r="C532" s="1">
        <v>44743</v>
      </c>
      <c r="D532" t="s">
        <v>17</v>
      </c>
      <c r="E532" t="s">
        <v>18</v>
      </c>
      <c r="F532">
        <v>25</v>
      </c>
      <c r="G532">
        <v>7</v>
      </c>
      <c r="H532">
        <v>175</v>
      </c>
      <c r="I532" t="s">
        <v>15</v>
      </c>
      <c r="J532" t="s">
        <v>22</v>
      </c>
      <c r="K532" t="s">
        <v>26</v>
      </c>
    </row>
    <row r="533" spans="2:11" x14ac:dyDescent="0.25">
      <c r="B533">
        <v>529</v>
      </c>
      <c r="C533" s="1">
        <v>44696</v>
      </c>
      <c r="D533" t="s">
        <v>10</v>
      </c>
      <c r="E533" t="s">
        <v>11</v>
      </c>
      <c r="F533">
        <v>20</v>
      </c>
      <c r="G533">
        <v>12</v>
      </c>
      <c r="H533">
        <v>240</v>
      </c>
      <c r="J533" t="s">
        <v>22</v>
      </c>
      <c r="K533" t="s">
        <v>16</v>
      </c>
    </row>
    <row r="534" spans="2:11" x14ac:dyDescent="0.25">
      <c r="B534">
        <v>530</v>
      </c>
      <c r="C534" s="1">
        <v>44769</v>
      </c>
      <c r="D534" t="s">
        <v>21</v>
      </c>
      <c r="E534" t="s">
        <v>11</v>
      </c>
      <c r="F534">
        <v>20</v>
      </c>
      <c r="G534">
        <v>6</v>
      </c>
      <c r="H534">
        <v>120</v>
      </c>
      <c r="I534" t="s">
        <v>15</v>
      </c>
      <c r="J534" t="s">
        <v>22</v>
      </c>
      <c r="K534" t="s">
        <v>13</v>
      </c>
    </row>
    <row r="535" spans="2:11" x14ac:dyDescent="0.25">
      <c r="B535">
        <v>531</v>
      </c>
      <c r="C535" s="1">
        <v>44838</v>
      </c>
      <c r="D535" t="s">
        <v>27</v>
      </c>
      <c r="E535" t="s">
        <v>18</v>
      </c>
      <c r="F535">
        <v>40</v>
      </c>
      <c r="G535">
        <v>10</v>
      </c>
      <c r="H535">
        <v>400</v>
      </c>
      <c r="I535" t="s">
        <v>15</v>
      </c>
      <c r="J535" t="s">
        <v>12</v>
      </c>
      <c r="K535" t="s">
        <v>13</v>
      </c>
    </row>
    <row r="536" spans="2:11" x14ac:dyDescent="0.25">
      <c r="B536">
        <v>532</v>
      </c>
      <c r="C536" s="1">
        <v>45012</v>
      </c>
      <c r="D536" t="s">
        <v>21</v>
      </c>
      <c r="E536" t="s">
        <v>11</v>
      </c>
      <c r="F536">
        <v>20</v>
      </c>
      <c r="G536">
        <v>13</v>
      </c>
      <c r="H536">
        <v>260</v>
      </c>
      <c r="I536" t="s">
        <v>19</v>
      </c>
      <c r="J536" t="s">
        <v>22</v>
      </c>
      <c r="K536" t="s">
        <v>26</v>
      </c>
    </row>
    <row r="537" spans="2:11" x14ac:dyDescent="0.25">
      <c r="B537">
        <v>533</v>
      </c>
      <c r="C537" s="1">
        <v>44962</v>
      </c>
      <c r="D537" t="s">
        <v>24</v>
      </c>
      <c r="E537" t="s">
        <v>11</v>
      </c>
      <c r="F537">
        <v>50</v>
      </c>
      <c r="G537">
        <v>2</v>
      </c>
      <c r="H537">
        <v>100</v>
      </c>
      <c r="J537" t="s">
        <v>22</v>
      </c>
      <c r="K537" t="s">
        <v>13</v>
      </c>
    </row>
    <row r="538" spans="2:11" x14ac:dyDescent="0.25">
      <c r="B538">
        <v>534</v>
      </c>
      <c r="C538" s="1">
        <v>44697</v>
      </c>
      <c r="D538" t="s">
        <v>14</v>
      </c>
      <c r="E538" t="s">
        <v>11</v>
      </c>
      <c r="F538">
        <v>20</v>
      </c>
      <c r="G538">
        <v>2</v>
      </c>
      <c r="H538">
        <v>40</v>
      </c>
      <c r="I538" t="s">
        <v>19</v>
      </c>
      <c r="J538" t="s">
        <v>22</v>
      </c>
      <c r="K538" t="s">
        <v>13</v>
      </c>
    </row>
    <row r="539" spans="2:11" x14ac:dyDescent="0.25">
      <c r="B539">
        <v>535</v>
      </c>
      <c r="C539" s="1">
        <v>44809</v>
      </c>
      <c r="D539" t="s">
        <v>25</v>
      </c>
      <c r="E539" t="s">
        <v>11</v>
      </c>
      <c r="F539">
        <v>60</v>
      </c>
      <c r="G539">
        <v>4</v>
      </c>
      <c r="H539">
        <v>240</v>
      </c>
      <c r="I539" t="s">
        <v>19</v>
      </c>
      <c r="J539" t="s">
        <v>12</v>
      </c>
      <c r="K539" t="s">
        <v>26</v>
      </c>
    </row>
    <row r="540" spans="2:11" x14ac:dyDescent="0.25">
      <c r="B540">
        <v>536</v>
      </c>
      <c r="C540" s="1">
        <v>44986</v>
      </c>
      <c r="D540" t="s">
        <v>17</v>
      </c>
      <c r="E540" t="s">
        <v>18</v>
      </c>
      <c r="F540">
        <v>25</v>
      </c>
      <c r="G540">
        <v>7</v>
      </c>
      <c r="H540">
        <v>175</v>
      </c>
      <c r="I540" t="s">
        <v>15</v>
      </c>
      <c r="J540" t="s">
        <v>22</v>
      </c>
      <c r="K540" t="s">
        <v>20</v>
      </c>
    </row>
    <row r="541" spans="2:11" x14ac:dyDescent="0.25">
      <c r="B541">
        <v>537</v>
      </c>
      <c r="C541" s="1">
        <v>44951</v>
      </c>
      <c r="D541" t="s">
        <v>21</v>
      </c>
      <c r="E541" t="s">
        <v>11</v>
      </c>
      <c r="F541">
        <v>20</v>
      </c>
      <c r="G541">
        <v>3</v>
      </c>
      <c r="H541">
        <v>60</v>
      </c>
      <c r="I541" t="s">
        <v>15</v>
      </c>
      <c r="J541" t="s">
        <v>12</v>
      </c>
      <c r="K541" t="s">
        <v>20</v>
      </c>
    </row>
    <row r="542" spans="2:11" x14ac:dyDescent="0.25">
      <c r="B542">
        <v>538</v>
      </c>
      <c r="C542" s="1">
        <v>44717</v>
      </c>
      <c r="D542" t="s">
        <v>21</v>
      </c>
      <c r="E542" t="s">
        <v>11</v>
      </c>
      <c r="F542">
        <v>20</v>
      </c>
      <c r="G542">
        <v>7</v>
      </c>
      <c r="H542">
        <v>140</v>
      </c>
      <c r="I542" t="s">
        <v>19</v>
      </c>
      <c r="J542" t="s">
        <v>12</v>
      </c>
      <c r="K542" t="s">
        <v>23</v>
      </c>
    </row>
    <row r="543" spans="2:11" x14ac:dyDescent="0.25">
      <c r="B543">
        <v>539</v>
      </c>
      <c r="C543" s="1">
        <v>44811</v>
      </c>
      <c r="D543" t="s">
        <v>21</v>
      </c>
      <c r="E543" t="s">
        <v>11</v>
      </c>
      <c r="F543">
        <v>20</v>
      </c>
      <c r="G543">
        <v>3</v>
      </c>
      <c r="H543">
        <v>60</v>
      </c>
      <c r="I543" t="s">
        <v>19</v>
      </c>
      <c r="J543" t="s">
        <v>12</v>
      </c>
      <c r="K543" t="s">
        <v>20</v>
      </c>
    </row>
    <row r="544" spans="2:11" x14ac:dyDescent="0.25">
      <c r="B544">
        <v>540</v>
      </c>
      <c r="C544" s="1">
        <v>44708</v>
      </c>
      <c r="D544" t="s">
        <v>14</v>
      </c>
      <c r="E544" t="s">
        <v>11</v>
      </c>
      <c r="F544">
        <v>20</v>
      </c>
      <c r="G544">
        <v>13</v>
      </c>
      <c r="H544">
        <v>260</v>
      </c>
      <c r="I544" t="s">
        <v>15</v>
      </c>
      <c r="J544" t="s">
        <v>12</v>
      </c>
      <c r="K544" t="s">
        <v>16</v>
      </c>
    </row>
    <row r="545" spans="2:11" x14ac:dyDescent="0.25">
      <c r="B545">
        <v>541</v>
      </c>
      <c r="C545" s="1">
        <v>44772</v>
      </c>
      <c r="D545" t="s">
        <v>21</v>
      </c>
      <c r="E545" t="s">
        <v>11</v>
      </c>
      <c r="F545">
        <v>20</v>
      </c>
      <c r="G545">
        <v>12</v>
      </c>
      <c r="H545">
        <v>240</v>
      </c>
      <c r="I545" t="s">
        <v>15</v>
      </c>
      <c r="J545" t="s">
        <v>12</v>
      </c>
      <c r="K545" t="s">
        <v>13</v>
      </c>
    </row>
    <row r="546" spans="2:11" x14ac:dyDescent="0.25">
      <c r="B546">
        <v>542</v>
      </c>
      <c r="C546" s="1">
        <v>44777</v>
      </c>
      <c r="D546" t="s">
        <v>17</v>
      </c>
      <c r="E546" t="s">
        <v>18</v>
      </c>
      <c r="F546">
        <v>25</v>
      </c>
      <c r="G546">
        <v>9</v>
      </c>
      <c r="H546">
        <v>225</v>
      </c>
      <c r="I546" t="s">
        <v>15</v>
      </c>
      <c r="J546" t="s">
        <v>12</v>
      </c>
      <c r="K546" t="s">
        <v>20</v>
      </c>
    </row>
    <row r="547" spans="2:11" x14ac:dyDescent="0.25">
      <c r="B547">
        <v>543</v>
      </c>
      <c r="C547" s="1">
        <v>44661</v>
      </c>
      <c r="D547" t="s">
        <v>10</v>
      </c>
      <c r="E547" t="s">
        <v>11</v>
      </c>
      <c r="F547">
        <v>20</v>
      </c>
      <c r="G547">
        <v>15</v>
      </c>
      <c r="H547">
        <v>300</v>
      </c>
      <c r="I547" t="s">
        <v>15</v>
      </c>
      <c r="J547" t="s">
        <v>22</v>
      </c>
      <c r="K547" t="s">
        <v>20</v>
      </c>
    </row>
    <row r="548" spans="2:11" x14ac:dyDescent="0.25">
      <c r="B548">
        <v>544</v>
      </c>
      <c r="C548" s="1">
        <v>44909</v>
      </c>
      <c r="D548" t="s">
        <v>25</v>
      </c>
      <c r="E548" t="s">
        <v>11</v>
      </c>
      <c r="F548">
        <v>60</v>
      </c>
      <c r="G548">
        <v>15</v>
      </c>
      <c r="H548">
        <v>900</v>
      </c>
      <c r="I548" t="s">
        <v>19</v>
      </c>
      <c r="J548" t="s">
        <v>22</v>
      </c>
      <c r="K548" t="s">
        <v>23</v>
      </c>
    </row>
    <row r="549" spans="2:11" x14ac:dyDescent="0.25">
      <c r="B549">
        <v>545</v>
      </c>
      <c r="C549" s="1">
        <v>44927</v>
      </c>
      <c r="D549" t="s">
        <v>25</v>
      </c>
      <c r="E549" t="s">
        <v>11</v>
      </c>
      <c r="F549">
        <v>60</v>
      </c>
      <c r="G549">
        <v>13</v>
      </c>
      <c r="H549">
        <v>780</v>
      </c>
      <c r="I549" t="s">
        <v>19</v>
      </c>
      <c r="J549" t="s">
        <v>22</v>
      </c>
      <c r="K549" t="s">
        <v>26</v>
      </c>
    </row>
    <row r="550" spans="2:11" x14ac:dyDescent="0.25">
      <c r="B550">
        <v>546</v>
      </c>
      <c r="C550" s="1">
        <v>44751</v>
      </c>
      <c r="D550" t="s">
        <v>10</v>
      </c>
      <c r="E550" t="s">
        <v>11</v>
      </c>
      <c r="F550">
        <v>20</v>
      </c>
      <c r="G550">
        <v>1</v>
      </c>
      <c r="H550">
        <v>20</v>
      </c>
      <c r="I550" t="s">
        <v>15</v>
      </c>
      <c r="J550" t="s">
        <v>22</v>
      </c>
      <c r="K550" t="s">
        <v>26</v>
      </c>
    </row>
    <row r="551" spans="2:11" x14ac:dyDescent="0.25">
      <c r="B551">
        <v>547</v>
      </c>
      <c r="C551" s="1">
        <v>44695</v>
      </c>
      <c r="D551" t="s">
        <v>27</v>
      </c>
      <c r="E551" t="s">
        <v>18</v>
      </c>
      <c r="F551">
        <v>40</v>
      </c>
      <c r="G551">
        <v>10</v>
      </c>
      <c r="H551">
        <v>400</v>
      </c>
      <c r="I551" t="s">
        <v>19</v>
      </c>
      <c r="J551" t="s">
        <v>12</v>
      </c>
      <c r="K551" t="s">
        <v>23</v>
      </c>
    </row>
    <row r="552" spans="2:11" x14ac:dyDescent="0.25">
      <c r="B552">
        <v>548</v>
      </c>
      <c r="C552" s="1">
        <v>45014</v>
      </c>
      <c r="D552" t="s">
        <v>27</v>
      </c>
      <c r="E552" t="s">
        <v>18</v>
      </c>
      <c r="F552">
        <v>40</v>
      </c>
      <c r="G552">
        <v>14</v>
      </c>
      <c r="H552">
        <v>560</v>
      </c>
      <c r="I552" t="s">
        <v>15</v>
      </c>
      <c r="J552" t="s">
        <v>12</v>
      </c>
      <c r="K552" t="s">
        <v>16</v>
      </c>
    </row>
    <row r="553" spans="2:11" x14ac:dyDescent="0.25">
      <c r="B553">
        <v>549</v>
      </c>
      <c r="C553" s="1">
        <v>44666</v>
      </c>
      <c r="D553" t="s">
        <v>17</v>
      </c>
      <c r="E553" t="s">
        <v>18</v>
      </c>
      <c r="F553">
        <v>25</v>
      </c>
      <c r="G553">
        <v>3</v>
      </c>
      <c r="H553">
        <v>75</v>
      </c>
      <c r="I553" t="s">
        <v>19</v>
      </c>
      <c r="J553" t="s">
        <v>12</v>
      </c>
      <c r="K553" t="s">
        <v>16</v>
      </c>
    </row>
    <row r="554" spans="2:11" x14ac:dyDescent="0.25">
      <c r="B554">
        <v>550</v>
      </c>
      <c r="C554" s="1">
        <v>44880</v>
      </c>
      <c r="D554" t="s">
        <v>27</v>
      </c>
      <c r="E554" t="s">
        <v>18</v>
      </c>
      <c r="F554">
        <v>40</v>
      </c>
      <c r="G554">
        <v>15</v>
      </c>
      <c r="H554">
        <v>600</v>
      </c>
      <c r="I554" t="s">
        <v>19</v>
      </c>
      <c r="J554" t="s">
        <v>12</v>
      </c>
      <c r="K554" t="s">
        <v>16</v>
      </c>
    </row>
    <row r="555" spans="2:11" x14ac:dyDescent="0.25">
      <c r="B555">
        <v>551</v>
      </c>
      <c r="C555" s="1">
        <v>44772</v>
      </c>
      <c r="D555" t="s">
        <v>17</v>
      </c>
      <c r="E555" t="s">
        <v>18</v>
      </c>
      <c r="F555">
        <v>25</v>
      </c>
      <c r="G555">
        <v>7</v>
      </c>
      <c r="H555">
        <v>175</v>
      </c>
      <c r="I555" t="s">
        <v>15</v>
      </c>
      <c r="J555" t="s">
        <v>12</v>
      </c>
      <c r="K555" t="s">
        <v>20</v>
      </c>
    </row>
    <row r="556" spans="2:11" x14ac:dyDescent="0.25">
      <c r="B556">
        <v>552</v>
      </c>
      <c r="C556" s="1">
        <v>44816</v>
      </c>
      <c r="D556" t="s">
        <v>17</v>
      </c>
      <c r="E556" t="s">
        <v>18</v>
      </c>
      <c r="F556">
        <v>25</v>
      </c>
      <c r="G556">
        <v>15</v>
      </c>
      <c r="H556">
        <v>375</v>
      </c>
      <c r="I556" t="s">
        <v>15</v>
      </c>
      <c r="J556" t="s">
        <v>22</v>
      </c>
      <c r="K556" t="s">
        <v>26</v>
      </c>
    </row>
    <row r="557" spans="2:11" x14ac:dyDescent="0.25">
      <c r="B557">
        <v>553</v>
      </c>
      <c r="C557" s="1">
        <v>44876</v>
      </c>
      <c r="D557" t="s">
        <v>21</v>
      </c>
      <c r="E557" t="s">
        <v>11</v>
      </c>
      <c r="F557">
        <v>20</v>
      </c>
      <c r="G557">
        <v>14</v>
      </c>
      <c r="H557">
        <v>280</v>
      </c>
      <c r="I557" t="s">
        <v>15</v>
      </c>
      <c r="J557" t="s">
        <v>12</v>
      </c>
      <c r="K557" t="s">
        <v>20</v>
      </c>
    </row>
    <row r="558" spans="2:11" x14ac:dyDescent="0.25">
      <c r="B558">
        <v>554</v>
      </c>
      <c r="C558" s="1">
        <v>44994</v>
      </c>
      <c r="D558" t="s">
        <v>21</v>
      </c>
      <c r="E558" t="s">
        <v>11</v>
      </c>
      <c r="F558">
        <v>20</v>
      </c>
      <c r="G558">
        <v>4</v>
      </c>
      <c r="H558">
        <v>80</v>
      </c>
      <c r="I558" t="s">
        <v>15</v>
      </c>
      <c r="J558" t="s">
        <v>22</v>
      </c>
      <c r="K558" t="s">
        <v>16</v>
      </c>
    </row>
    <row r="559" spans="2:11" x14ac:dyDescent="0.25">
      <c r="B559">
        <v>555</v>
      </c>
      <c r="C559" s="1">
        <v>44667</v>
      </c>
      <c r="D559" t="s">
        <v>25</v>
      </c>
      <c r="E559" t="s">
        <v>11</v>
      </c>
      <c r="F559">
        <v>60</v>
      </c>
      <c r="G559">
        <v>6</v>
      </c>
      <c r="H559">
        <v>360</v>
      </c>
      <c r="I559" t="s">
        <v>15</v>
      </c>
      <c r="J559" t="s">
        <v>22</v>
      </c>
      <c r="K559" t="s">
        <v>20</v>
      </c>
    </row>
    <row r="560" spans="2:11" x14ac:dyDescent="0.25">
      <c r="B560">
        <v>556</v>
      </c>
      <c r="C560" s="1">
        <v>44984</v>
      </c>
      <c r="D560" t="s">
        <v>14</v>
      </c>
      <c r="E560" t="s">
        <v>11</v>
      </c>
      <c r="F560">
        <v>20</v>
      </c>
      <c r="G560">
        <v>9</v>
      </c>
      <c r="H560">
        <v>180</v>
      </c>
      <c r="I560" t="s">
        <v>15</v>
      </c>
      <c r="J560" t="s">
        <v>22</v>
      </c>
      <c r="K560" t="s">
        <v>13</v>
      </c>
    </row>
    <row r="561" spans="2:11" x14ac:dyDescent="0.25">
      <c r="B561">
        <v>557</v>
      </c>
      <c r="C561" s="1">
        <v>44742</v>
      </c>
      <c r="D561" t="s">
        <v>25</v>
      </c>
      <c r="E561" t="s">
        <v>11</v>
      </c>
      <c r="F561">
        <v>60</v>
      </c>
      <c r="G561">
        <v>2</v>
      </c>
      <c r="H561">
        <v>120</v>
      </c>
      <c r="I561" t="s">
        <v>15</v>
      </c>
      <c r="J561" t="s">
        <v>22</v>
      </c>
      <c r="K561" t="s">
        <v>20</v>
      </c>
    </row>
    <row r="562" spans="2:11" x14ac:dyDescent="0.25">
      <c r="B562">
        <v>558</v>
      </c>
      <c r="C562" s="1">
        <v>44835</v>
      </c>
      <c r="D562" t="s">
        <v>21</v>
      </c>
      <c r="E562" t="s">
        <v>11</v>
      </c>
      <c r="F562">
        <v>20</v>
      </c>
      <c r="G562">
        <v>5</v>
      </c>
      <c r="H562">
        <v>100</v>
      </c>
      <c r="I562" t="s">
        <v>19</v>
      </c>
      <c r="J562" t="s">
        <v>12</v>
      </c>
      <c r="K562" t="s">
        <v>23</v>
      </c>
    </row>
    <row r="563" spans="2:11" x14ac:dyDescent="0.25">
      <c r="B563">
        <v>559</v>
      </c>
      <c r="C563" s="1">
        <v>44804</v>
      </c>
      <c r="D563" t="s">
        <v>27</v>
      </c>
      <c r="E563" t="s">
        <v>18</v>
      </c>
      <c r="F563">
        <v>40</v>
      </c>
      <c r="G563">
        <v>5</v>
      </c>
      <c r="H563">
        <v>200</v>
      </c>
      <c r="I563" t="s">
        <v>19</v>
      </c>
      <c r="J563" t="s">
        <v>22</v>
      </c>
      <c r="K563" t="s">
        <v>13</v>
      </c>
    </row>
    <row r="564" spans="2:11" x14ac:dyDescent="0.25">
      <c r="B564">
        <v>560</v>
      </c>
      <c r="C564" s="1">
        <v>44905</v>
      </c>
      <c r="D564" t="s">
        <v>17</v>
      </c>
      <c r="E564" t="s">
        <v>18</v>
      </c>
      <c r="F564">
        <v>25</v>
      </c>
      <c r="G564">
        <v>1</v>
      </c>
      <c r="H564">
        <v>25</v>
      </c>
      <c r="I564" t="s">
        <v>15</v>
      </c>
      <c r="J564" t="s">
        <v>12</v>
      </c>
      <c r="K564" t="s">
        <v>20</v>
      </c>
    </row>
    <row r="565" spans="2:11" x14ac:dyDescent="0.25">
      <c r="B565">
        <v>561</v>
      </c>
      <c r="C565" s="1">
        <v>44725</v>
      </c>
      <c r="D565" t="s">
        <v>21</v>
      </c>
      <c r="E565" t="s">
        <v>11</v>
      </c>
      <c r="F565">
        <v>20</v>
      </c>
      <c r="G565">
        <v>1</v>
      </c>
      <c r="H565">
        <v>20</v>
      </c>
      <c r="I565" t="s">
        <v>15</v>
      </c>
      <c r="J565" t="s">
        <v>22</v>
      </c>
      <c r="K565" t="s">
        <v>26</v>
      </c>
    </row>
    <row r="566" spans="2:11" x14ac:dyDescent="0.25">
      <c r="B566">
        <v>562</v>
      </c>
      <c r="C566" s="1">
        <v>44782</v>
      </c>
      <c r="D566" t="s">
        <v>24</v>
      </c>
      <c r="E566" t="s">
        <v>11</v>
      </c>
      <c r="F566">
        <v>50</v>
      </c>
      <c r="G566">
        <v>4</v>
      </c>
      <c r="H566">
        <v>200</v>
      </c>
      <c r="I566" t="s">
        <v>15</v>
      </c>
      <c r="J566" t="s">
        <v>12</v>
      </c>
      <c r="K566" t="s">
        <v>16</v>
      </c>
    </row>
    <row r="567" spans="2:11" x14ac:dyDescent="0.25">
      <c r="B567">
        <v>563</v>
      </c>
      <c r="C567" s="1">
        <v>44847</v>
      </c>
      <c r="D567" t="s">
        <v>24</v>
      </c>
      <c r="E567" t="s">
        <v>11</v>
      </c>
      <c r="F567">
        <v>50</v>
      </c>
      <c r="G567">
        <v>7</v>
      </c>
      <c r="H567">
        <v>350</v>
      </c>
      <c r="I567" t="s">
        <v>19</v>
      </c>
      <c r="J567" t="s">
        <v>22</v>
      </c>
      <c r="K567" t="s">
        <v>20</v>
      </c>
    </row>
    <row r="568" spans="2:11" x14ac:dyDescent="0.25">
      <c r="B568">
        <v>564</v>
      </c>
      <c r="C568" s="1">
        <v>44831</v>
      </c>
      <c r="D568" t="s">
        <v>27</v>
      </c>
      <c r="E568" t="s">
        <v>18</v>
      </c>
      <c r="F568">
        <v>40</v>
      </c>
      <c r="G568">
        <v>2</v>
      </c>
      <c r="H568">
        <v>80</v>
      </c>
      <c r="J568" t="s">
        <v>12</v>
      </c>
      <c r="K568" t="s">
        <v>23</v>
      </c>
    </row>
    <row r="569" spans="2:11" x14ac:dyDescent="0.25">
      <c r="B569">
        <v>565</v>
      </c>
      <c r="C569" s="1">
        <v>44831</v>
      </c>
      <c r="D569" t="s">
        <v>21</v>
      </c>
      <c r="E569" t="s">
        <v>11</v>
      </c>
      <c r="F569">
        <v>20</v>
      </c>
      <c r="G569">
        <v>15</v>
      </c>
      <c r="H569">
        <v>300</v>
      </c>
      <c r="I569" t="s">
        <v>15</v>
      </c>
      <c r="J569" t="s">
        <v>12</v>
      </c>
      <c r="K569" t="s">
        <v>20</v>
      </c>
    </row>
    <row r="570" spans="2:11" x14ac:dyDescent="0.25">
      <c r="B570">
        <v>566</v>
      </c>
      <c r="C570" s="1">
        <v>44761</v>
      </c>
      <c r="D570" t="s">
        <v>24</v>
      </c>
      <c r="E570" t="s">
        <v>11</v>
      </c>
      <c r="F570">
        <v>50</v>
      </c>
      <c r="G570">
        <v>3</v>
      </c>
      <c r="H570">
        <v>150</v>
      </c>
      <c r="I570" t="s">
        <v>15</v>
      </c>
      <c r="J570" t="s">
        <v>12</v>
      </c>
      <c r="K570" t="s">
        <v>20</v>
      </c>
    </row>
    <row r="571" spans="2:11" x14ac:dyDescent="0.25">
      <c r="B571">
        <v>567</v>
      </c>
      <c r="C571" s="1">
        <v>44850</v>
      </c>
      <c r="D571" t="s">
        <v>27</v>
      </c>
      <c r="E571" t="s">
        <v>18</v>
      </c>
      <c r="F571">
        <v>40</v>
      </c>
      <c r="G571">
        <v>7</v>
      </c>
      <c r="H571">
        <v>280</v>
      </c>
      <c r="I571" t="s">
        <v>19</v>
      </c>
      <c r="J571" t="s">
        <v>22</v>
      </c>
      <c r="K571" t="s">
        <v>16</v>
      </c>
    </row>
    <row r="572" spans="2:11" x14ac:dyDescent="0.25">
      <c r="B572">
        <v>568</v>
      </c>
      <c r="C572" s="1">
        <v>44924</v>
      </c>
      <c r="D572" t="s">
        <v>21</v>
      </c>
      <c r="E572" t="s">
        <v>11</v>
      </c>
      <c r="F572">
        <v>20</v>
      </c>
      <c r="G572">
        <v>12</v>
      </c>
      <c r="H572">
        <v>240</v>
      </c>
      <c r="J572" t="s">
        <v>22</v>
      </c>
      <c r="K572" t="s">
        <v>16</v>
      </c>
    </row>
    <row r="573" spans="2:11" x14ac:dyDescent="0.25">
      <c r="B573">
        <v>569</v>
      </c>
      <c r="C573" s="1">
        <v>44928</v>
      </c>
      <c r="D573" t="s">
        <v>27</v>
      </c>
      <c r="E573" t="s">
        <v>18</v>
      </c>
      <c r="F573">
        <v>40</v>
      </c>
      <c r="G573">
        <v>15</v>
      </c>
      <c r="H573">
        <v>600</v>
      </c>
      <c r="I573" t="s">
        <v>19</v>
      </c>
      <c r="J573" t="s">
        <v>22</v>
      </c>
      <c r="K573" t="s">
        <v>26</v>
      </c>
    </row>
    <row r="574" spans="2:11" x14ac:dyDescent="0.25">
      <c r="B574">
        <v>570</v>
      </c>
      <c r="C574" s="1">
        <v>44819</v>
      </c>
      <c r="D574" t="s">
        <v>17</v>
      </c>
      <c r="E574" t="s">
        <v>18</v>
      </c>
      <c r="F574">
        <v>25</v>
      </c>
      <c r="G574">
        <v>4</v>
      </c>
      <c r="H574">
        <v>100</v>
      </c>
      <c r="I574" t="s">
        <v>15</v>
      </c>
      <c r="J574" t="s">
        <v>12</v>
      </c>
      <c r="K574" t="s">
        <v>23</v>
      </c>
    </row>
    <row r="575" spans="2:11" x14ac:dyDescent="0.25">
      <c r="B575">
        <v>571</v>
      </c>
      <c r="C575" s="1">
        <v>44893</v>
      </c>
      <c r="D575" t="s">
        <v>17</v>
      </c>
      <c r="E575" t="s">
        <v>18</v>
      </c>
      <c r="F575">
        <v>25</v>
      </c>
      <c r="G575">
        <v>1</v>
      </c>
      <c r="H575">
        <v>25</v>
      </c>
      <c r="I575" t="s">
        <v>15</v>
      </c>
      <c r="J575" t="s">
        <v>22</v>
      </c>
      <c r="K575" t="s">
        <v>20</v>
      </c>
    </row>
    <row r="576" spans="2:11" x14ac:dyDescent="0.25">
      <c r="B576">
        <v>572</v>
      </c>
      <c r="C576" s="1">
        <v>44653</v>
      </c>
      <c r="D576" t="s">
        <v>25</v>
      </c>
      <c r="E576" t="s">
        <v>11</v>
      </c>
      <c r="F576">
        <v>60</v>
      </c>
      <c r="G576">
        <v>15</v>
      </c>
      <c r="H576">
        <v>900</v>
      </c>
      <c r="I576" t="s">
        <v>15</v>
      </c>
      <c r="J576" t="s">
        <v>12</v>
      </c>
      <c r="K576" t="s">
        <v>16</v>
      </c>
    </row>
    <row r="577" spans="2:11" x14ac:dyDescent="0.25">
      <c r="B577">
        <v>573</v>
      </c>
      <c r="C577" s="1">
        <v>44811</v>
      </c>
      <c r="D577" t="s">
        <v>24</v>
      </c>
      <c r="E577" t="s">
        <v>11</v>
      </c>
      <c r="F577">
        <v>50</v>
      </c>
      <c r="G577">
        <v>2</v>
      </c>
      <c r="H577">
        <v>100</v>
      </c>
      <c r="I577" t="s">
        <v>15</v>
      </c>
      <c r="J577" t="s">
        <v>12</v>
      </c>
      <c r="K577" t="s">
        <v>16</v>
      </c>
    </row>
    <row r="578" spans="2:11" x14ac:dyDescent="0.25">
      <c r="B578">
        <v>574</v>
      </c>
      <c r="C578" s="1">
        <v>44856</v>
      </c>
      <c r="D578" t="s">
        <v>10</v>
      </c>
      <c r="E578" t="s">
        <v>11</v>
      </c>
      <c r="F578">
        <v>20</v>
      </c>
      <c r="G578">
        <v>1</v>
      </c>
      <c r="H578">
        <v>20</v>
      </c>
      <c r="I578" t="s">
        <v>15</v>
      </c>
      <c r="J578" t="s">
        <v>22</v>
      </c>
      <c r="K578" t="s">
        <v>13</v>
      </c>
    </row>
    <row r="579" spans="2:11" x14ac:dyDescent="0.25">
      <c r="B579">
        <v>575</v>
      </c>
      <c r="C579" s="1">
        <v>44919</v>
      </c>
      <c r="D579" t="s">
        <v>14</v>
      </c>
      <c r="E579" t="s">
        <v>11</v>
      </c>
      <c r="F579">
        <v>20</v>
      </c>
      <c r="G579">
        <v>1</v>
      </c>
      <c r="H579">
        <v>20</v>
      </c>
      <c r="I579" t="s">
        <v>19</v>
      </c>
      <c r="J579" t="s">
        <v>22</v>
      </c>
      <c r="K579" t="s">
        <v>26</v>
      </c>
    </row>
    <row r="580" spans="2:11" x14ac:dyDescent="0.25">
      <c r="B580">
        <v>576</v>
      </c>
      <c r="C580" s="1">
        <v>45008</v>
      </c>
      <c r="D580" t="s">
        <v>21</v>
      </c>
      <c r="E580" t="s">
        <v>11</v>
      </c>
      <c r="F580">
        <v>20</v>
      </c>
      <c r="G580">
        <v>12</v>
      </c>
      <c r="H580">
        <v>240</v>
      </c>
      <c r="I580" t="s">
        <v>15</v>
      </c>
      <c r="J580" t="s">
        <v>22</v>
      </c>
      <c r="K580" t="s">
        <v>16</v>
      </c>
    </row>
    <row r="581" spans="2:11" x14ac:dyDescent="0.25">
      <c r="B581">
        <v>577</v>
      </c>
      <c r="C581" s="1">
        <v>44810</v>
      </c>
      <c r="D581" t="s">
        <v>27</v>
      </c>
      <c r="E581" t="s">
        <v>18</v>
      </c>
      <c r="F581">
        <v>40</v>
      </c>
      <c r="G581">
        <v>7</v>
      </c>
      <c r="H581">
        <v>280</v>
      </c>
      <c r="I581" t="s">
        <v>15</v>
      </c>
      <c r="J581" t="s">
        <v>12</v>
      </c>
      <c r="K581" t="s">
        <v>20</v>
      </c>
    </row>
    <row r="582" spans="2:11" x14ac:dyDescent="0.25">
      <c r="B582">
        <v>578</v>
      </c>
      <c r="C582" s="1">
        <v>44742</v>
      </c>
      <c r="D582" t="s">
        <v>24</v>
      </c>
      <c r="E582" t="s">
        <v>11</v>
      </c>
      <c r="F582">
        <v>50</v>
      </c>
      <c r="G582">
        <v>5</v>
      </c>
      <c r="H582">
        <v>250</v>
      </c>
      <c r="I582" t="s">
        <v>19</v>
      </c>
      <c r="J582" t="s">
        <v>22</v>
      </c>
      <c r="K582" t="s">
        <v>13</v>
      </c>
    </row>
    <row r="583" spans="2:11" x14ac:dyDescent="0.25">
      <c r="B583">
        <v>579</v>
      </c>
      <c r="C583" s="1">
        <v>44678</v>
      </c>
      <c r="D583" t="s">
        <v>21</v>
      </c>
      <c r="E583" t="s">
        <v>11</v>
      </c>
      <c r="F583">
        <v>20</v>
      </c>
      <c r="G583">
        <v>2</v>
      </c>
      <c r="H583">
        <v>40</v>
      </c>
      <c r="I583" t="s">
        <v>15</v>
      </c>
      <c r="J583" t="s">
        <v>12</v>
      </c>
      <c r="K583" t="s">
        <v>20</v>
      </c>
    </row>
    <row r="584" spans="2:11" x14ac:dyDescent="0.25">
      <c r="B584">
        <v>580</v>
      </c>
      <c r="C584" s="1">
        <v>44743</v>
      </c>
      <c r="D584" t="s">
        <v>21</v>
      </c>
      <c r="E584" t="s">
        <v>11</v>
      </c>
      <c r="F584">
        <v>20</v>
      </c>
      <c r="G584">
        <v>10</v>
      </c>
      <c r="H584">
        <v>200</v>
      </c>
      <c r="I584" t="s">
        <v>19</v>
      </c>
      <c r="J584" t="s">
        <v>12</v>
      </c>
      <c r="K584" t="s">
        <v>13</v>
      </c>
    </row>
    <row r="585" spans="2:11" x14ac:dyDescent="0.25">
      <c r="B585">
        <v>581</v>
      </c>
      <c r="C585" s="1">
        <v>44674</v>
      </c>
      <c r="D585" t="s">
        <v>17</v>
      </c>
      <c r="E585" t="s">
        <v>18</v>
      </c>
      <c r="F585">
        <v>25</v>
      </c>
      <c r="G585">
        <v>13</v>
      </c>
      <c r="H585">
        <v>325</v>
      </c>
      <c r="I585" t="s">
        <v>15</v>
      </c>
      <c r="J585" t="s">
        <v>12</v>
      </c>
      <c r="K585" t="s">
        <v>16</v>
      </c>
    </row>
    <row r="586" spans="2:11" x14ac:dyDescent="0.25">
      <c r="B586">
        <v>582</v>
      </c>
      <c r="C586" s="1">
        <v>44693</v>
      </c>
      <c r="D586" t="s">
        <v>10</v>
      </c>
      <c r="E586" t="s">
        <v>11</v>
      </c>
      <c r="F586">
        <v>20</v>
      </c>
      <c r="G586">
        <v>13</v>
      </c>
      <c r="H586">
        <v>260</v>
      </c>
      <c r="I586" t="s">
        <v>15</v>
      </c>
      <c r="J586" t="s">
        <v>12</v>
      </c>
      <c r="K586" t="s">
        <v>23</v>
      </c>
    </row>
    <row r="587" spans="2:11" x14ac:dyDescent="0.25">
      <c r="B587">
        <v>583</v>
      </c>
      <c r="C587" s="1">
        <v>44712</v>
      </c>
      <c r="D587" t="s">
        <v>24</v>
      </c>
      <c r="E587" t="s">
        <v>11</v>
      </c>
      <c r="F587">
        <v>50</v>
      </c>
      <c r="G587">
        <v>8</v>
      </c>
      <c r="H587">
        <v>400</v>
      </c>
      <c r="I587" t="s">
        <v>15</v>
      </c>
      <c r="J587" t="s">
        <v>12</v>
      </c>
      <c r="K587" t="s">
        <v>13</v>
      </c>
    </row>
    <row r="588" spans="2:11" x14ac:dyDescent="0.25">
      <c r="B588">
        <v>584</v>
      </c>
      <c r="C588" s="1">
        <v>44899</v>
      </c>
      <c r="D588" t="s">
        <v>27</v>
      </c>
      <c r="E588" t="s">
        <v>18</v>
      </c>
      <c r="F588">
        <v>40</v>
      </c>
      <c r="G588">
        <v>15</v>
      </c>
      <c r="H588">
        <v>600</v>
      </c>
      <c r="I588" t="s">
        <v>15</v>
      </c>
      <c r="J588" t="s">
        <v>12</v>
      </c>
      <c r="K588" t="s">
        <v>23</v>
      </c>
    </row>
    <row r="589" spans="2:11" x14ac:dyDescent="0.25">
      <c r="B589">
        <v>585</v>
      </c>
      <c r="C589" s="1">
        <v>44990</v>
      </c>
      <c r="D589" t="s">
        <v>14</v>
      </c>
      <c r="E589" t="s">
        <v>11</v>
      </c>
      <c r="F589">
        <v>20</v>
      </c>
      <c r="G589">
        <v>11</v>
      </c>
      <c r="H589">
        <v>220</v>
      </c>
      <c r="I589" t="s">
        <v>15</v>
      </c>
      <c r="J589" t="s">
        <v>22</v>
      </c>
      <c r="K589" t="s">
        <v>23</v>
      </c>
    </row>
    <row r="590" spans="2:11" x14ac:dyDescent="0.25">
      <c r="B590">
        <v>586</v>
      </c>
      <c r="C590" s="1">
        <v>44703</v>
      </c>
      <c r="D590" t="s">
        <v>25</v>
      </c>
      <c r="E590" t="s">
        <v>11</v>
      </c>
      <c r="F590">
        <v>60</v>
      </c>
      <c r="G590">
        <v>15</v>
      </c>
      <c r="H590">
        <v>900</v>
      </c>
      <c r="I590" t="s">
        <v>19</v>
      </c>
      <c r="J590" t="s">
        <v>12</v>
      </c>
      <c r="K590" t="s">
        <v>13</v>
      </c>
    </row>
    <row r="591" spans="2:11" x14ac:dyDescent="0.25">
      <c r="B591">
        <v>587</v>
      </c>
      <c r="C591" s="1">
        <v>44660</v>
      </c>
      <c r="D591" t="s">
        <v>10</v>
      </c>
      <c r="E591" t="s">
        <v>11</v>
      </c>
      <c r="F591">
        <v>20</v>
      </c>
      <c r="G591">
        <v>10</v>
      </c>
      <c r="H591">
        <v>200</v>
      </c>
      <c r="I591" t="s">
        <v>15</v>
      </c>
      <c r="J591" t="s">
        <v>22</v>
      </c>
      <c r="K591" t="s">
        <v>13</v>
      </c>
    </row>
    <row r="592" spans="2:11" x14ac:dyDescent="0.25">
      <c r="B592">
        <v>588</v>
      </c>
      <c r="C592" s="1">
        <v>44728</v>
      </c>
      <c r="D592" t="s">
        <v>24</v>
      </c>
      <c r="E592" t="s">
        <v>11</v>
      </c>
      <c r="F592">
        <v>50</v>
      </c>
      <c r="G592">
        <v>11</v>
      </c>
      <c r="H592">
        <v>550</v>
      </c>
      <c r="I592" t="s">
        <v>15</v>
      </c>
      <c r="J592" t="s">
        <v>22</v>
      </c>
      <c r="K592" t="s">
        <v>23</v>
      </c>
    </row>
    <row r="593" spans="2:11" x14ac:dyDescent="0.25">
      <c r="B593">
        <v>589</v>
      </c>
      <c r="C593" s="1">
        <v>44798</v>
      </c>
      <c r="D593" t="s">
        <v>27</v>
      </c>
      <c r="E593" t="s">
        <v>18</v>
      </c>
      <c r="F593">
        <v>40</v>
      </c>
      <c r="G593">
        <v>5</v>
      </c>
      <c r="H593">
        <v>200</v>
      </c>
      <c r="I593" t="s">
        <v>15</v>
      </c>
      <c r="J593" t="s">
        <v>12</v>
      </c>
      <c r="K593" t="s">
        <v>13</v>
      </c>
    </row>
    <row r="594" spans="2:11" x14ac:dyDescent="0.25">
      <c r="B594">
        <v>590</v>
      </c>
      <c r="C594" s="1">
        <v>45012</v>
      </c>
      <c r="D594" t="s">
        <v>21</v>
      </c>
      <c r="E594" t="s">
        <v>11</v>
      </c>
      <c r="F594">
        <v>20</v>
      </c>
      <c r="G594">
        <v>15</v>
      </c>
      <c r="H594">
        <v>300</v>
      </c>
      <c r="I594" t="s">
        <v>19</v>
      </c>
      <c r="J594" t="s">
        <v>12</v>
      </c>
      <c r="K594" t="s">
        <v>26</v>
      </c>
    </row>
    <row r="595" spans="2:11" x14ac:dyDescent="0.25">
      <c r="B595">
        <v>591</v>
      </c>
      <c r="C595" s="1">
        <v>44835</v>
      </c>
      <c r="D595" t="s">
        <v>25</v>
      </c>
      <c r="E595" t="s">
        <v>11</v>
      </c>
      <c r="F595">
        <v>60</v>
      </c>
      <c r="G595">
        <v>13</v>
      </c>
      <c r="H595">
        <v>780</v>
      </c>
      <c r="I595" t="s">
        <v>15</v>
      </c>
      <c r="J595" t="s">
        <v>22</v>
      </c>
      <c r="K595" t="s">
        <v>23</v>
      </c>
    </row>
    <row r="596" spans="2:11" x14ac:dyDescent="0.25">
      <c r="B596">
        <v>592</v>
      </c>
      <c r="C596" s="1">
        <v>44899</v>
      </c>
      <c r="D596" t="s">
        <v>17</v>
      </c>
      <c r="E596" t="s">
        <v>18</v>
      </c>
      <c r="F596">
        <v>25</v>
      </c>
      <c r="G596">
        <v>7</v>
      </c>
      <c r="H596">
        <v>175</v>
      </c>
      <c r="I596" t="s">
        <v>15</v>
      </c>
      <c r="J596" t="s">
        <v>12</v>
      </c>
      <c r="K596" t="s">
        <v>23</v>
      </c>
    </row>
    <row r="597" spans="2:11" x14ac:dyDescent="0.25">
      <c r="B597">
        <v>593</v>
      </c>
      <c r="C597" s="1">
        <v>44973</v>
      </c>
      <c r="D597" t="s">
        <v>17</v>
      </c>
      <c r="E597" t="s">
        <v>18</v>
      </c>
      <c r="F597">
        <v>25</v>
      </c>
      <c r="G597">
        <v>9</v>
      </c>
      <c r="H597">
        <v>225</v>
      </c>
      <c r="I597" t="s">
        <v>15</v>
      </c>
      <c r="J597" t="s">
        <v>22</v>
      </c>
      <c r="K597" t="s">
        <v>20</v>
      </c>
    </row>
    <row r="598" spans="2:11" x14ac:dyDescent="0.25">
      <c r="B598">
        <v>594</v>
      </c>
      <c r="C598" s="1">
        <v>44946</v>
      </c>
      <c r="D598" t="s">
        <v>24</v>
      </c>
      <c r="E598" t="s">
        <v>11</v>
      </c>
      <c r="F598">
        <v>50</v>
      </c>
      <c r="G598">
        <v>6</v>
      </c>
      <c r="H598">
        <v>300</v>
      </c>
      <c r="I598" t="s">
        <v>15</v>
      </c>
      <c r="J598" t="s">
        <v>22</v>
      </c>
      <c r="K598" t="s">
        <v>23</v>
      </c>
    </row>
    <row r="599" spans="2:11" x14ac:dyDescent="0.25">
      <c r="B599">
        <v>595</v>
      </c>
      <c r="C599" s="1">
        <v>44979</v>
      </c>
      <c r="D599" t="s">
        <v>24</v>
      </c>
      <c r="E599" t="s">
        <v>11</v>
      </c>
      <c r="F599">
        <v>50</v>
      </c>
      <c r="G599">
        <v>9</v>
      </c>
      <c r="H599">
        <v>450</v>
      </c>
      <c r="I599" t="s">
        <v>19</v>
      </c>
      <c r="J599" t="s">
        <v>12</v>
      </c>
      <c r="K599" t="s">
        <v>16</v>
      </c>
    </row>
    <row r="600" spans="2:11" x14ac:dyDescent="0.25">
      <c r="B600">
        <v>596</v>
      </c>
      <c r="C600" s="1">
        <v>44677</v>
      </c>
      <c r="D600" t="s">
        <v>27</v>
      </c>
      <c r="E600" t="s">
        <v>18</v>
      </c>
      <c r="F600">
        <v>40</v>
      </c>
      <c r="G600">
        <v>1</v>
      </c>
      <c r="H600">
        <v>40</v>
      </c>
      <c r="I600" t="s">
        <v>19</v>
      </c>
      <c r="J600" t="s">
        <v>22</v>
      </c>
      <c r="K600" t="s">
        <v>13</v>
      </c>
    </row>
    <row r="601" spans="2:11" x14ac:dyDescent="0.25">
      <c r="B601">
        <v>597</v>
      </c>
      <c r="C601" s="1">
        <v>44895</v>
      </c>
      <c r="D601" t="s">
        <v>21</v>
      </c>
      <c r="E601" t="s">
        <v>11</v>
      </c>
      <c r="F601">
        <v>20</v>
      </c>
      <c r="G601">
        <v>10</v>
      </c>
      <c r="H601">
        <v>200</v>
      </c>
      <c r="I601" t="s">
        <v>19</v>
      </c>
      <c r="J601" t="s">
        <v>12</v>
      </c>
      <c r="K601" t="s">
        <v>26</v>
      </c>
    </row>
    <row r="602" spans="2:11" x14ac:dyDescent="0.25">
      <c r="B602">
        <v>598</v>
      </c>
      <c r="C602" s="1">
        <v>44775</v>
      </c>
      <c r="D602" t="s">
        <v>27</v>
      </c>
      <c r="E602" t="s">
        <v>18</v>
      </c>
      <c r="F602">
        <v>40</v>
      </c>
      <c r="G602">
        <v>8</v>
      </c>
      <c r="H602">
        <v>320</v>
      </c>
      <c r="I602" t="s">
        <v>15</v>
      </c>
      <c r="J602" t="s">
        <v>22</v>
      </c>
      <c r="K602" t="s">
        <v>16</v>
      </c>
    </row>
    <row r="603" spans="2:11" x14ac:dyDescent="0.25">
      <c r="B603">
        <v>599</v>
      </c>
      <c r="C603" s="1">
        <v>44837</v>
      </c>
      <c r="D603" t="s">
        <v>24</v>
      </c>
      <c r="E603" t="s">
        <v>11</v>
      </c>
      <c r="F603">
        <v>50</v>
      </c>
      <c r="G603">
        <v>13</v>
      </c>
      <c r="H603">
        <v>650</v>
      </c>
      <c r="I603" t="s">
        <v>15</v>
      </c>
      <c r="J603" t="s">
        <v>12</v>
      </c>
      <c r="K603" t="s">
        <v>23</v>
      </c>
    </row>
    <row r="604" spans="2:11" x14ac:dyDescent="0.25">
      <c r="B604">
        <v>600</v>
      </c>
      <c r="C604" s="1">
        <v>44919</v>
      </c>
      <c r="D604" t="s">
        <v>21</v>
      </c>
      <c r="E604" t="s">
        <v>11</v>
      </c>
      <c r="F604">
        <v>20</v>
      </c>
      <c r="G604">
        <v>6</v>
      </c>
      <c r="H604">
        <v>120</v>
      </c>
      <c r="I604" t="s">
        <v>15</v>
      </c>
      <c r="J604" t="s">
        <v>22</v>
      </c>
      <c r="K604" t="s">
        <v>23</v>
      </c>
    </row>
    <row r="605" spans="2:11" x14ac:dyDescent="0.25">
      <c r="B605">
        <v>601</v>
      </c>
      <c r="C605" s="1">
        <v>44866</v>
      </c>
      <c r="D605" t="s">
        <v>10</v>
      </c>
      <c r="E605" t="s">
        <v>11</v>
      </c>
      <c r="F605">
        <v>20</v>
      </c>
      <c r="G605">
        <v>12</v>
      </c>
      <c r="H605">
        <v>240</v>
      </c>
      <c r="I605" t="s">
        <v>19</v>
      </c>
      <c r="J605" t="s">
        <v>12</v>
      </c>
      <c r="K605" t="s">
        <v>23</v>
      </c>
    </row>
    <row r="606" spans="2:11" x14ac:dyDescent="0.25">
      <c r="B606">
        <v>602</v>
      </c>
      <c r="C606" s="1">
        <v>44800</v>
      </c>
      <c r="D606" t="s">
        <v>10</v>
      </c>
      <c r="E606" t="s">
        <v>11</v>
      </c>
      <c r="F606">
        <v>20</v>
      </c>
      <c r="G606">
        <v>10</v>
      </c>
      <c r="H606">
        <v>200</v>
      </c>
      <c r="I606" t="s">
        <v>15</v>
      </c>
      <c r="J606" t="s">
        <v>12</v>
      </c>
      <c r="K606" t="s">
        <v>13</v>
      </c>
    </row>
    <row r="607" spans="2:11" x14ac:dyDescent="0.25">
      <c r="B607">
        <v>603</v>
      </c>
      <c r="C607" s="1">
        <v>44804</v>
      </c>
      <c r="D607" t="s">
        <v>14</v>
      </c>
      <c r="E607" t="s">
        <v>11</v>
      </c>
      <c r="F607">
        <v>20</v>
      </c>
      <c r="G607">
        <v>10</v>
      </c>
      <c r="H607">
        <v>200</v>
      </c>
      <c r="I607" t="s">
        <v>15</v>
      </c>
      <c r="J607" t="s">
        <v>22</v>
      </c>
      <c r="K607" t="s">
        <v>16</v>
      </c>
    </row>
    <row r="608" spans="2:11" x14ac:dyDescent="0.25">
      <c r="B608">
        <v>604</v>
      </c>
      <c r="C608" s="1">
        <v>44812</v>
      </c>
      <c r="D608" t="s">
        <v>24</v>
      </c>
      <c r="E608" t="s">
        <v>11</v>
      </c>
      <c r="F608">
        <v>50</v>
      </c>
      <c r="G608">
        <v>10</v>
      </c>
      <c r="H608">
        <v>500</v>
      </c>
      <c r="I608" t="s">
        <v>15</v>
      </c>
      <c r="J608" t="s">
        <v>22</v>
      </c>
      <c r="K608" t="s">
        <v>13</v>
      </c>
    </row>
    <row r="609" spans="2:11" x14ac:dyDescent="0.25">
      <c r="B609">
        <v>605</v>
      </c>
      <c r="C609" s="1">
        <v>44655</v>
      </c>
      <c r="D609" t="s">
        <v>27</v>
      </c>
      <c r="E609" t="s">
        <v>18</v>
      </c>
      <c r="F609">
        <v>40</v>
      </c>
      <c r="G609">
        <v>15</v>
      </c>
      <c r="H609">
        <v>600</v>
      </c>
      <c r="J609" t="s">
        <v>22</v>
      </c>
      <c r="K609" t="s">
        <v>16</v>
      </c>
    </row>
    <row r="610" spans="2:11" x14ac:dyDescent="0.25">
      <c r="B610">
        <v>606</v>
      </c>
      <c r="C610" s="1">
        <v>44660</v>
      </c>
      <c r="D610" t="s">
        <v>27</v>
      </c>
      <c r="E610" t="s">
        <v>18</v>
      </c>
      <c r="F610">
        <v>40</v>
      </c>
      <c r="G610">
        <v>6</v>
      </c>
      <c r="H610">
        <v>240</v>
      </c>
      <c r="I610" t="s">
        <v>15</v>
      </c>
      <c r="J610" t="s">
        <v>22</v>
      </c>
      <c r="K610" t="s">
        <v>13</v>
      </c>
    </row>
    <row r="611" spans="2:11" x14ac:dyDescent="0.25">
      <c r="B611">
        <v>607</v>
      </c>
      <c r="C611" s="1">
        <v>44910</v>
      </c>
      <c r="D611" t="s">
        <v>14</v>
      </c>
      <c r="E611" t="s">
        <v>11</v>
      </c>
      <c r="F611">
        <v>20</v>
      </c>
      <c r="G611">
        <v>9</v>
      </c>
      <c r="H611">
        <v>180</v>
      </c>
      <c r="I611" t="s">
        <v>15</v>
      </c>
      <c r="J611" t="s">
        <v>22</v>
      </c>
      <c r="K611" t="s">
        <v>16</v>
      </c>
    </row>
    <row r="612" spans="2:11" x14ac:dyDescent="0.25">
      <c r="B612">
        <v>608</v>
      </c>
      <c r="C612" s="1">
        <v>44985</v>
      </c>
      <c r="D612" t="s">
        <v>10</v>
      </c>
      <c r="E612" t="s">
        <v>11</v>
      </c>
      <c r="F612">
        <v>20</v>
      </c>
      <c r="G612">
        <v>1</v>
      </c>
      <c r="H612">
        <v>20</v>
      </c>
      <c r="I612" t="s">
        <v>19</v>
      </c>
      <c r="J612" t="s">
        <v>12</v>
      </c>
      <c r="K612" t="s">
        <v>26</v>
      </c>
    </row>
    <row r="613" spans="2:11" x14ac:dyDescent="0.25">
      <c r="B613">
        <v>609</v>
      </c>
      <c r="C613" s="1">
        <v>44964</v>
      </c>
      <c r="D613" t="s">
        <v>10</v>
      </c>
      <c r="E613" t="s">
        <v>11</v>
      </c>
      <c r="F613">
        <v>20</v>
      </c>
      <c r="G613">
        <v>14</v>
      </c>
      <c r="H613">
        <v>280</v>
      </c>
      <c r="J613" t="s">
        <v>12</v>
      </c>
      <c r="K613" t="s">
        <v>26</v>
      </c>
    </row>
    <row r="614" spans="2:11" x14ac:dyDescent="0.25">
      <c r="B614">
        <v>610</v>
      </c>
      <c r="C614" s="1">
        <v>44689</v>
      </c>
      <c r="D614" t="s">
        <v>24</v>
      </c>
      <c r="E614" t="s">
        <v>11</v>
      </c>
      <c r="F614">
        <v>50</v>
      </c>
      <c r="G614">
        <v>13</v>
      </c>
      <c r="H614">
        <v>650</v>
      </c>
      <c r="I614" t="s">
        <v>19</v>
      </c>
      <c r="J614" t="s">
        <v>22</v>
      </c>
      <c r="K614" t="s">
        <v>20</v>
      </c>
    </row>
    <row r="615" spans="2:11" x14ac:dyDescent="0.25">
      <c r="B615">
        <v>611</v>
      </c>
      <c r="C615" s="1">
        <v>44737</v>
      </c>
      <c r="D615" t="s">
        <v>10</v>
      </c>
      <c r="E615" t="s">
        <v>11</v>
      </c>
      <c r="F615">
        <v>20</v>
      </c>
      <c r="G615">
        <v>2</v>
      </c>
      <c r="H615">
        <v>40</v>
      </c>
      <c r="I615" t="s">
        <v>19</v>
      </c>
      <c r="J615" t="s">
        <v>22</v>
      </c>
      <c r="K615" t="s">
        <v>23</v>
      </c>
    </row>
    <row r="616" spans="2:11" x14ac:dyDescent="0.25">
      <c r="B616">
        <v>612</v>
      </c>
      <c r="C616" s="1">
        <v>44963</v>
      </c>
      <c r="D616" t="s">
        <v>10</v>
      </c>
      <c r="E616" t="s">
        <v>11</v>
      </c>
      <c r="F616">
        <v>20</v>
      </c>
      <c r="G616">
        <v>3</v>
      </c>
      <c r="H616">
        <v>60</v>
      </c>
      <c r="I616" t="s">
        <v>19</v>
      </c>
      <c r="J616" t="s">
        <v>12</v>
      </c>
      <c r="K616" t="s">
        <v>26</v>
      </c>
    </row>
    <row r="617" spans="2:11" x14ac:dyDescent="0.25">
      <c r="B617">
        <v>613</v>
      </c>
      <c r="C617" s="1">
        <v>44722</v>
      </c>
      <c r="D617" t="s">
        <v>14</v>
      </c>
      <c r="E617" t="s">
        <v>11</v>
      </c>
      <c r="F617">
        <v>20</v>
      </c>
      <c r="G617">
        <v>5</v>
      </c>
      <c r="H617">
        <v>100</v>
      </c>
      <c r="I617" t="s">
        <v>19</v>
      </c>
      <c r="J617" t="s">
        <v>22</v>
      </c>
      <c r="K617" t="s">
        <v>13</v>
      </c>
    </row>
    <row r="618" spans="2:11" x14ac:dyDescent="0.25">
      <c r="B618">
        <v>614</v>
      </c>
      <c r="C618" s="1">
        <v>44914</v>
      </c>
      <c r="D618" t="s">
        <v>14</v>
      </c>
      <c r="E618" t="s">
        <v>11</v>
      </c>
      <c r="F618">
        <v>20</v>
      </c>
      <c r="G618">
        <v>2</v>
      </c>
      <c r="H618">
        <v>40</v>
      </c>
      <c r="J618" t="s">
        <v>12</v>
      </c>
      <c r="K618" t="s">
        <v>23</v>
      </c>
    </row>
    <row r="619" spans="2:11" x14ac:dyDescent="0.25">
      <c r="B619">
        <v>615</v>
      </c>
      <c r="C619" s="1">
        <v>44787</v>
      </c>
      <c r="D619" t="s">
        <v>25</v>
      </c>
      <c r="E619" t="s">
        <v>11</v>
      </c>
      <c r="F619">
        <v>60</v>
      </c>
      <c r="G619">
        <v>14</v>
      </c>
      <c r="H619">
        <v>840</v>
      </c>
      <c r="J619" t="s">
        <v>12</v>
      </c>
      <c r="K619" t="s">
        <v>23</v>
      </c>
    </row>
    <row r="620" spans="2:11" x14ac:dyDescent="0.25">
      <c r="B620">
        <v>616</v>
      </c>
      <c r="C620" s="1">
        <v>44757</v>
      </c>
      <c r="D620" t="s">
        <v>14</v>
      </c>
      <c r="E620" t="s">
        <v>11</v>
      </c>
      <c r="F620">
        <v>20</v>
      </c>
      <c r="G620">
        <v>6</v>
      </c>
      <c r="H620">
        <v>120</v>
      </c>
      <c r="I620" t="s">
        <v>19</v>
      </c>
      <c r="J620" t="s">
        <v>22</v>
      </c>
      <c r="K620" t="s">
        <v>26</v>
      </c>
    </row>
    <row r="621" spans="2:11" x14ac:dyDescent="0.25">
      <c r="B621">
        <v>617</v>
      </c>
      <c r="C621" s="1">
        <v>44740</v>
      </c>
      <c r="D621" t="s">
        <v>17</v>
      </c>
      <c r="E621" t="s">
        <v>18</v>
      </c>
      <c r="F621">
        <v>25</v>
      </c>
      <c r="G621">
        <v>2</v>
      </c>
      <c r="H621">
        <v>50</v>
      </c>
      <c r="I621" t="s">
        <v>15</v>
      </c>
      <c r="J621" t="s">
        <v>12</v>
      </c>
      <c r="K621" t="s">
        <v>13</v>
      </c>
    </row>
    <row r="622" spans="2:11" x14ac:dyDescent="0.25">
      <c r="B622">
        <v>618</v>
      </c>
      <c r="C622" s="1">
        <v>44659</v>
      </c>
      <c r="D622" t="s">
        <v>24</v>
      </c>
      <c r="E622" t="s">
        <v>11</v>
      </c>
      <c r="F622">
        <v>50</v>
      </c>
      <c r="G622">
        <v>1</v>
      </c>
      <c r="H622">
        <v>50</v>
      </c>
      <c r="I622" t="s">
        <v>19</v>
      </c>
      <c r="J622" t="s">
        <v>12</v>
      </c>
      <c r="K622" t="s">
        <v>20</v>
      </c>
    </row>
    <row r="623" spans="2:11" x14ac:dyDescent="0.25">
      <c r="B623">
        <v>619</v>
      </c>
      <c r="C623" s="1">
        <v>44813</v>
      </c>
      <c r="D623" t="s">
        <v>17</v>
      </c>
      <c r="E623" t="s">
        <v>18</v>
      </c>
      <c r="F623">
        <v>25</v>
      </c>
      <c r="G623">
        <v>4</v>
      </c>
      <c r="H623">
        <v>100</v>
      </c>
      <c r="I623" t="s">
        <v>15</v>
      </c>
      <c r="J623" t="s">
        <v>22</v>
      </c>
      <c r="K623" t="s">
        <v>23</v>
      </c>
    </row>
    <row r="624" spans="2:11" x14ac:dyDescent="0.25">
      <c r="B624">
        <v>620</v>
      </c>
      <c r="C624" s="1">
        <v>44818</v>
      </c>
      <c r="D624" t="s">
        <v>21</v>
      </c>
      <c r="E624" t="s">
        <v>11</v>
      </c>
      <c r="F624">
        <v>20</v>
      </c>
      <c r="G624">
        <v>12</v>
      </c>
      <c r="H624">
        <v>240</v>
      </c>
      <c r="I624" t="s">
        <v>19</v>
      </c>
      <c r="J624" t="s">
        <v>22</v>
      </c>
      <c r="K624" t="s">
        <v>20</v>
      </c>
    </row>
    <row r="625" spans="2:11" x14ac:dyDescent="0.25">
      <c r="B625">
        <v>621</v>
      </c>
      <c r="C625" s="1">
        <v>44970</v>
      </c>
      <c r="D625" t="s">
        <v>10</v>
      </c>
      <c r="E625" t="s">
        <v>11</v>
      </c>
      <c r="F625">
        <v>20</v>
      </c>
      <c r="G625">
        <v>2</v>
      </c>
      <c r="H625">
        <v>40</v>
      </c>
      <c r="I625" t="s">
        <v>19</v>
      </c>
      <c r="J625" t="s">
        <v>22</v>
      </c>
      <c r="K625" t="s">
        <v>20</v>
      </c>
    </row>
    <row r="626" spans="2:11" x14ac:dyDescent="0.25">
      <c r="B626">
        <v>622</v>
      </c>
      <c r="C626" s="1">
        <v>44909</v>
      </c>
      <c r="D626" t="s">
        <v>21</v>
      </c>
      <c r="E626" t="s">
        <v>11</v>
      </c>
      <c r="F626">
        <v>20</v>
      </c>
      <c r="G626">
        <v>13</v>
      </c>
      <c r="H626">
        <v>260</v>
      </c>
      <c r="I626" t="s">
        <v>19</v>
      </c>
      <c r="J626" t="s">
        <v>12</v>
      </c>
      <c r="K626" t="s">
        <v>16</v>
      </c>
    </row>
    <row r="627" spans="2:11" x14ac:dyDescent="0.25">
      <c r="B627">
        <v>623</v>
      </c>
      <c r="C627" s="1">
        <v>44653</v>
      </c>
      <c r="D627" t="s">
        <v>27</v>
      </c>
      <c r="E627" t="s">
        <v>18</v>
      </c>
      <c r="F627">
        <v>40</v>
      </c>
      <c r="G627">
        <v>15</v>
      </c>
      <c r="H627">
        <v>600</v>
      </c>
      <c r="I627" t="s">
        <v>15</v>
      </c>
      <c r="J627" t="s">
        <v>12</v>
      </c>
      <c r="K627" t="s">
        <v>26</v>
      </c>
    </row>
    <row r="628" spans="2:11" x14ac:dyDescent="0.25">
      <c r="B628">
        <v>624</v>
      </c>
      <c r="C628" s="1">
        <v>44993</v>
      </c>
      <c r="D628" t="s">
        <v>25</v>
      </c>
      <c r="E628" t="s">
        <v>11</v>
      </c>
      <c r="F628">
        <v>60</v>
      </c>
      <c r="G628">
        <v>9</v>
      </c>
      <c r="H628">
        <v>540</v>
      </c>
      <c r="I628" t="s">
        <v>15</v>
      </c>
      <c r="J628" t="s">
        <v>22</v>
      </c>
      <c r="K628" t="s">
        <v>23</v>
      </c>
    </row>
    <row r="629" spans="2:11" x14ac:dyDescent="0.25">
      <c r="B629">
        <v>625</v>
      </c>
      <c r="C629" s="1">
        <v>44729</v>
      </c>
      <c r="D629" t="s">
        <v>25</v>
      </c>
      <c r="E629" t="s">
        <v>11</v>
      </c>
      <c r="F629">
        <v>60</v>
      </c>
      <c r="G629">
        <v>15</v>
      </c>
      <c r="H629">
        <v>900</v>
      </c>
      <c r="I629" t="s">
        <v>19</v>
      </c>
      <c r="J629" t="s">
        <v>12</v>
      </c>
      <c r="K629" t="s">
        <v>23</v>
      </c>
    </row>
    <row r="630" spans="2:11" x14ac:dyDescent="0.25">
      <c r="B630">
        <v>626</v>
      </c>
      <c r="C630" s="1">
        <v>44958</v>
      </c>
      <c r="D630" t="s">
        <v>27</v>
      </c>
      <c r="E630" t="s">
        <v>18</v>
      </c>
      <c r="F630">
        <v>40</v>
      </c>
      <c r="G630">
        <v>15</v>
      </c>
      <c r="H630">
        <v>600</v>
      </c>
      <c r="I630" t="s">
        <v>15</v>
      </c>
      <c r="J630" t="s">
        <v>12</v>
      </c>
      <c r="K630" t="s">
        <v>13</v>
      </c>
    </row>
    <row r="631" spans="2:11" x14ac:dyDescent="0.25">
      <c r="B631">
        <v>627</v>
      </c>
      <c r="C631" s="1">
        <v>44734</v>
      </c>
      <c r="D631" t="s">
        <v>17</v>
      </c>
      <c r="E631" t="s">
        <v>18</v>
      </c>
      <c r="F631">
        <v>25</v>
      </c>
      <c r="G631">
        <v>15</v>
      </c>
      <c r="H631">
        <v>375</v>
      </c>
      <c r="I631" t="s">
        <v>19</v>
      </c>
      <c r="J631" t="s">
        <v>12</v>
      </c>
      <c r="K631" t="s">
        <v>16</v>
      </c>
    </row>
    <row r="632" spans="2:11" x14ac:dyDescent="0.25">
      <c r="B632">
        <v>628</v>
      </c>
      <c r="C632" s="1">
        <v>44683</v>
      </c>
      <c r="D632" t="s">
        <v>27</v>
      </c>
      <c r="E632" t="s">
        <v>18</v>
      </c>
      <c r="F632">
        <v>40</v>
      </c>
      <c r="G632">
        <v>10</v>
      </c>
      <c r="H632">
        <v>400</v>
      </c>
      <c r="J632" t="s">
        <v>22</v>
      </c>
      <c r="K632" t="s">
        <v>13</v>
      </c>
    </row>
    <row r="633" spans="2:11" x14ac:dyDescent="0.25">
      <c r="B633">
        <v>629</v>
      </c>
      <c r="C633" s="1">
        <v>44946</v>
      </c>
      <c r="D633" t="s">
        <v>17</v>
      </c>
      <c r="E633" t="s">
        <v>18</v>
      </c>
      <c r="F633">
        <v>25</v>
      </c>
      <c r="G633">
        <v>9</v>
      </c>
      <c r="H633">
        <v>225</v>
      </c>
      <c r="I633" t="s">
        <v>15</v>
      </c>
      <c r="J633" t="s">
        <v>22</v>
      </c>
      <c r="K633" t="s">
        <v>20</v>
      </c>
    </row>
    <row r="634" spans="2:11" x14ac:dyDescent="0.25">
      <c r="B634">
        <v>630</v>
      </c>
      <c r="C634" s="1">
        <v>44708</v>
      </c>
      <c r="D634" t="s">
        <v>24</v>
      </c>
      <c r="E634" t="s">
        <v>11</v>
      </c>
      <c r="F634">
        <v>50</v>
      </c>
      <c r="G634">
        <v>7</v>
      </c>
      <c r="H634">
        <v>350</v>
      </c>
      <c r="J634" t="s">
        <v>22</v>
      </c>
      <c r="K634" t="s">
        <v>23</v>
      </c>
    </row>
    <row r="635" spans="2:11" x14ac:dyDescent="0.25">
      <c r="B635">
        <v>631</v>
      </c>
      <c r="C635" s="1">
        <v>44743</v>
      </c>
      <c r="D635" t="s">
        <v>27</v>
      </c>
      <c r="E635" t="s">
        <v>18</v>
      </c>
      <c r="F635">
        <v>40</v>
      </c>
      <c r="G635">
        <v>13</v>
      </c>
      <c r="H635">
        <v>520</v>
      </c>
      <c r="I635" t="s">
        <v>15</v>
      </c>
      <c r="J635" t="s">
        <v>22</v>
      </c>
      <c r="K635" t="s">
        <v>20</v>
      </c>
    </row>
    <row r="636" spans="2:11" x14ac:dyDescent="0.25">
      <c r="B636">
        <v>632</v>
      </c>
      <c r="C636" s="1">
        <v>44862</v>
      </c>
      <c r="D636" t="s">
        <v>21</v>
      </c>
      <c r="E636" t="s">
        <v>11</v>
      </c>
      <c r="F636">
        <v>20</v>
      </c>
      <c r="G636">
        <v>9</v>
      </c>
      <c r="H636">
        <v>180</v>
      </c>
      <c r="I636" t="s">
        <v>19</v>
      </c>
      <c r="J636" t="s">
        <v>22</v>
      </c>
      <c r="K636" t="s">
        <v>13</v>
      </c>
    </row>
    <row r="637" spans="2:11" x14ac:dyDescent="0.25">
      <c r="B637">
        <v>633</v>
      </c>
      <c r="C637" s="1">
        <v>44705</v>
      </c>
      <c r="D637" t="s">
        <v>27</v>
      </c>
      <c r="E637" t="s">
        <v>18</v>
      </c>
      <c r="F637">
        <v>40</v>
      </c>
      <c r="G637">
        <v>3</v>
      </c>
      <c r="H637">
        <v>120</v>
      </c>
      <c r="I637" t="s">
        <v>19</v>
      </c>
      <c r="J637" t="s">
        <v>12</v>
      </c>
      <c r="K637" t="s">
        <v>20</v>
      </c>
    </row>
    <row r="638" spans="2:11" x14ac:dyDescent="0.25">
      <c r="B638">
        <v>634</v>
      </c>
      <c r="C638" s="1">
        <v>44768</v>
      </c>
      <c r="D638" t="s">
        <v>21</v>
      </c>
      <c r="E638" t="s">
        <v>11</v>
      </c>
      <c r="F638">
        <v>20</v>
      </c>
      <c r="G638">
        <v>13</v>
      </c>
      <c r="H638">
        <v>260</v>
      </c>
      <c r="I638" t="s">
        <v>15</v>
      </c>
      <c r="J638" t="s">
        <v>12</v>
      </c>
      <c r="K638" t="s">
        <v>16</v>
      </c>
    </row>
    <row r="639" spans="2:11" x14ac:dyDescent="0.25">
      <c r="B639">
        <v>635</v>
      </c>
      <c r="C639" s="1">
        <v>44963</v>
      </c>
      <c r="D639" t="s">
        <v>14</v>
      </c>
      <c r="E639" t="s">
        <v>11</v>
      </c>
      <c r="F639">
        <v>20</v>
      </c>
      <c r="G639">
        <v>15</v>
      </c>
      <c r="H639">
        <v>300</v>
      </c>
      <c r="I639" t="s">
        <v>19</v>
      </c>
      <c r="J639" t="s">
        <v>22</v>
      </c>
      <c r="K639" t="s">
        <v>13</v>
      </c>
    </row>
    <row r="640" spans="2:11" x14ac:dyDescent="0.25">
      <c r="B640">
        <v>636</v>
      </c>
      <c r="C640" s="1">
        <v>44677</v>
      </c>
      <c r="D640" t="s">
        <v>27</v>
      </c>
      <c r="E640" t="s">
        <v>18</v>
      </c>
      <c r="F640">
        <v>40</v>
      </c>
      <c r="G640">
        <v>12</v>
      </c>
      <c r="H640">
        <v>480</v>
      </c>
      <c r="J640" t="s">
        <v>12</v>
      </c>
      <c r="K640" t="s">
        <v>23</v>
      </c>
    </row>
    <row r="641" spans="2:11" x14ac:dyDescent="0.25">
      <c r="B641">
        <v>637</v>
      </c>
      <c r="C641" s="1">
        <v>44695</v>
      </c>
      <c r="D641" t="s">
        <v>10</v>
      </c>
      <c r="E641" t="s">
        <v>11</v>
      </c>
      <c r="F641">
        <v>20</v>
      </c>
      <c r="G641">
        <v>7</v>
      </c>
      <c r="H641">
        <v>140</v>
      </c>
      <c r="I641" t="s">
        <v>15</v>
      </c>
      <c r="J641" t="s">
        <v>12</v>
      </c>
      <c r="K641" t="s">
        <v>26</v>
      </c>
    </row>
    <row r="642" spans="2:11" x14ac:dyDescent="0.25">
      <c r="B642">
        <v>638</v>
      </c>
      <c r="C642" s="1">
        <v>44793</v>
      </c>
      <c r="D642" t="s">
        <v>27</v>
      </c>
      <c r="E642" t="s">
        <v>18</v>
      </c>
      <c r="F642">
        <v>40</v>
      </c>
      <c r="G642">
        <v>11</v>
      </c>
      <c r="H642">
        <v>440</v>
      </c>
      <c r="I642" t="s">
        <v>19</v>
      </c>
      <c r="J642" t="s">
        <v>22</v>
      </c>
      <c r="K642" t="s">
        <v>16</v>
      </c>
    </row>
    <row r="643" spans="2:11" x14ac:dyDescent="0.25">
      <c r="B643">
        <v>639</v>
      </c>
      <c r="C643" s="1">
        <v>44952</v>
      </c>
      <c r="D643" t="s">
        <v>14</v>
      </c>
      <c r="E643" t="s">
        <v>11</v>
      </c>
      <c r="F643">
        <v>20</v>
      </c>
      <c r="G643">
        <v>14</v>
      </c>
      <c r="H643">
        <v>280</v>
      </c>
      <c r="I643" t="s">
        <v>15</v>
      </c>
      <c r="J643" t="s">
        <v>22</v>
      </c>
      <c r="K643" t="s">
        <v>23</v>
      </c>
    </row>
    <row r="644" spans="2:11" x14ac:dyDescent="0.25">
      <c r="B644">
        <v>640</v>
      </c>
      <c r="C644" s="1">
        <v>44930</v>
      </c>
      <c r="D644" t="s">
        <v>25</v>
      </c>
      <c r="E644" t="s">
        <v>11</v>
      </c>
      <c r="F644">
        <v>60</v>
      </c>
      <c r="G644">
        <v>15</v>
      </c>
      <c r="H644">
        <v>900</v>
      </c>
      <c r="I644" t="s">
        <v>19</v>
      </c>
      <c r="J644" t="s">
        <v>12</v>
      </c>
      <c r="K644" t="s">
        <v>13</v>
      </c>
    </row>
    <row r="645" spans="2:11" x14ac:dyDescent="0.25">
      <c r="B645">
        <v>641</v>
      </c>
      <c r="C645" s="1">
        <v>44966</v>
      </c>
      <c r="D645" t="s">
        <v>14</v>
      </c>
      <c r="E645" t="s">
        <v>11</v>
      </c>
      <c r="F645">
        <v>20</v>
      </c>
      <c r="G645">
        <v>15</v>
      </c>
      <c r="H645">
        <v>300</v>
      </c>
      <c r="I645" t="s">
        <v>15</v>
      </c>
      <c r="J645" t="s">
        <v>12</v>
      </c>
      <c r="K645" t="s">
        <v>16</v>
      </c>
    </row>
    <row r="646" spans="2:11" x14ac:dyDescent="0.25">
      <c r="B646">
        <v>642</v>
      </c>
      <c r="C646" s="1">
        <v>44690</v>
      </c>
      <c r="D646" t="s">
        <v>27</v>
      </c>
      <c r="E646" t="s">
        <v>18</v>
      </c>
      <c r="F646">
        <v>40</v>
      </c>
      <c r="G646">
        <v>10</v>
      </c>
      <c r="H646">
        <v>400</v>
      </c>
      <c r="I646" t="s">
        <v>19</v>
      </c>
      <c r="J646" t="s">
        <v>22</v>
      </c>
      <c r="K646" t="s">
        <v>23</v>
      </c>
    </row>
    <row r="647" spans="2:11" x14ac:dyDescent="0.25">
      <c r="B647">
        <v>643</v>
      </c>
      <c r="C647" s="1">
        <v>44854</v>
      </c>
      <c r="D647" t="s">
        <v>17</v>
      </c>
      <c r="E647" t="s">
        <v>18</v>
      </c>
      <c r="F647">
        <v>25</v>
      </c>
      <c r="G647">
        <v>2</v>
      </c>
      <c r="H647">
        <v>50</v>
      </c>
      <c r="I647" t="s">
        <v>15</v>
      </c>
      <c r="J647" t="s">
        <v>12</v>
      </c>
      <c r="K647" t="s">
        <v>16</v>
      </c>
    </row>
    <row r="648" spans="2:11" x14ac:dyDescent="0.25">
      <c r="B648">
        <v>644</v>
      </c>
      <c r="C648" s="1">
        <v>44960</v>
      </c>
      <c r="D648" t="s">
        <v>21</v>
      </c>
      <c r="E648" t="s">
        <v>11</v>
      </c>
      <c r="F648">
        <v>20</v>
      </c>
      <c r="G648">
        <v>5</v>
      </c>
      <c r="H648">
        <v>100</v>
      </c>
      <c r="I648" t="s">
        <v>19</v>
      </c>
      <c r="J648" t="s">
        <v>22</v>
      </c>
      <c r="K648" t="s">
        <v>20</v>
      </c>
    </row>
    <row r="649" spans="2:11" x14ac:dyDescent="0.25">
      <c r="B649">
        <v>645</v>
      </c>
      <c r="C649" s="1">
        <v>44768</v>
      </c>
      <c r="D649" t="s">
        <v>25</v>
      </c>
      <c r="E649" t="s">
        <v>11</v>
      </c>
      <c r="F649">
        <v>60</v>
      </c>
      <c r="G649">
        <v>9</v>
      </c>
      <c r="H649">
        <v>540</v>
      </c>
      <c r="I649" t="s">
        <v>15</v>
      </c>
      <c r="J649" t="s">
        <v>22</v>
      </c>
      <c r="K649" t="s">
        <v>13</v>
      </c>
    </row>
    <row r="650" spans="2:11" x14ac:dyDescent="0.25">
      <c r="B650">
        <v>646</v>
      </c>
      <c r="C650" s="1">
        <v>44803</v>
      </c>
      <c r="D650" t="s">
        <v>14</v>
      </c>
      <c r="E650" t="s">
        <v>11</v>
      </c>
      <c r="F650">
        <v>20</v>
      </c>
      <c r="G650">
        <v>14</v>
      </c>
      <c r="H650">
        <v>280</v>
      </c>
      <c r="I650" t="s">
        <v>19</v>
      </c>
      <c r="J650" t="s">
        <v>22</v>
      </c>
      <c r="K650" t="s">
        <v>16</v>
      </c>
    </row>
    <row r="651" spans="2:11" x14ac:dyDescent="0.25">
      <c r="B651">
        <v>647</v>
      </c>
      <c r="C651" s="1">
        <v>44717</v>
      </c>
      <c r="D651" t="s">
        <v>14</v>
      </c>
      <c r="E651" t="s">
        <v>11</v>
      </c>
      <c r="F651">
        <v>20</v>
      </c>
      <c r="G651">
        <v>3</v>
      </c>
      <c r="H651">
        <v>60</v>
      </c>
      <c r="I651" t="s">
        <v>15</v>
      </c>
      <c r="J651" t="s">
        <v>12</v>
      </c>
      <c r="K651" t="s">
        <v>16</v>
      </c>
    </row>
    <row r="652" spans="2:11" x14ac:dyDescent="0.25">
      <c r="B652">
        <v>648</v>
      </c>
      <c r="C652" s="1">
        <v>44708</v>
      </c>
      <c r="D652" t="s">
        <v>25</v>
      </c>
      <c r="E652" t="s">
        <v>11</v>
      </c>
      <c r="F652">
        <v>60</v>
      </c>
      <c r="G652">
        <v>7</v>
      </c>
      <c r="H652">
        <v>420</v>
      </c>
      <c r="I652" t="s">
        <v>15</v>
      </c>
      <c r="J652" t="s">
        <v>12</v>
      </c>
      <c r="K652" t="s">
        <v>13</v>
      </c>
    </row>
    <row r="653" spans="2:11" x14ac:dyDescent="0.25">
      <c r="B653">
        <v>649</v>
      </c>
      <c r="C653" s="1">
        <v>44870</v>
      </c>
      <c r="D653" t="s">
        <v>24</v>
      </c>
      <c r="E653" t="s">
        <v>11</v>
      </c>
      <c r="F653">
        <v>50</v>
      </c>
      <c r="G653">
        <v>9</v>
      </c>
      <c r="H653">
        <v>450</v>
      </c>
      <c r="I653" t="s">
        <v>15</v>
      </c>
      <c r="J653" t="s">
        <v>12</v>
      </c>
      <c r="K653" t="s">
        <v>26</v>
      </c>
    </row>
    <row r="654" spans="2:11" x14ac:dyDescent="0.25">
      <c r="B654">
        <v>650</v>
      </c>
      <c r="C654" s="1">
        <v>44658</v>
      </c>
      <c r="D654" t="s">
        <v>25</v>
      </c>
      <c r="E654" t="s">
        <v>11</v>
      </c>
      <c r="F654">
        <v>60</v>
      </c>
      <c r="G654">
        <v>13</v>
      </c>
      <c r="H654">
        <v>780</v>
      </c>
      <c r="I654" t="s">
        <v>19</v>
      </c>
      <c r="J654" t="s">
        <v>22</v>
      </c>
      <c r="K654" t="s">
        <v>23</v>
      </c>
    </row>
    <row r="655" spans="2:11" x14ac:dyDescent="0.25">
      <c r="B655">
        <v>651</v>
      </c>
      <c r="C655" s="1">
        <v>44753</v>
      </c>
      <c r="D655" t="s">
        <v>25</v>
      </c>
      <c r="E655" t="s">
        <v>11</v>
      </c>
      <c r="F655">
        <v>60</v>
      </c>
      <c r="G655">
        <v>10</v>
      </c>
      <c r="H655">
        <v>600</v>
      </c>
      <c r="I655" t="s">
        <v>19</v>
      </c>
      <c r="J655" t="s">
        <v>22</v>
      </c>
      <c r="K655" t="s">
        <v>26</v>
      </c>
    </row>
    <row r="656" spans="2:11" x14ac:dyDescent="0.25">
      <c r="B656">
        <v>652</v>
      </c>
      <c r="C656" s="1">
        <v>44702</v>
      </c>
      <c r="D656" t="s">
        <v>27</v>
      </c>
      <c r="E656" t="s">
        <v>18</v>
      </c>
      <c r="F656">
        <v>40</v>
      </c>
      <c r="G656">
        <v>13</v>
      </c>
      <c r="H656">
        <v>520</v>
      </c>
      <c r="I656" t="s">
        <v>19</v>
      </c>
      <c r="J656" t="s">
        <v>22</v>
      </c>
      <c r="K656" t="s">
        <v>16</v>
      </c>
    </row>
    <row r="657" spans="2:11" x14ac:dyDescent="0.25">
      <c r="B657">
        <v>653</v>
      </c>
      <c r="C657" s="1">
        <v>44711</v>
      </c>
      <c r="D657" t="s">
        <v>24</v>
      </c>
      <c r="E657" t="s">
        <v>11</v>
      </c>
      <c r="F657">
        <v>50</v>
      </c>
      <c r="G657">
        <v>10</v>
      </c>
      <c r="H657">
        <v>500</v>
      </c>
      <c r="I657" t="s">
        <v>19</v>
      </c>
      <c r="J657" t="s">
        <v>22</v>
      </c>
      <c r="K657" t="s">
        <v>26</v>
      </c>
    </row>
    <row r="658" spans="2:11" x14ac:dyDescent="0.25">
      <c r="B658">
        <v>654</v>
      </c>
      <c r="C658" s="1">
        <v>44989</v>
      </c>
      <c r="D658" t="s">
        <v>14</v>
      </c>
      <c r="E658" t="s">
        <v>11</v>
      </c>
      <c r="F658">
        <v>20</v>
      </c>
      <c r="G658">
        <v>9</v>
      </c>
      <c r="H658">
        <v>180</v>
      </c>
      <c r="I658" t="s">
        <v>15</v>
      </c>
      <c r="J658" t="s">
        <v>22</v>
      </c>
      <c r="K658" t="s">
        <v>23</v>
      </c>
    </row>
    <row r="659" spans="2:11" x14ac:dyDescent="0.25">
      <c r="B659">
        <v>655</v>
      </c>
      <c r="C659" s="1">
        <v>44742</v>
      </c>
      <c r="D659" t="s">
        <v>17</v>
      </c>
      <c r="E659" t="s">
        <v>18</v>
      </c>
      <c r="F659">
        <v>25</v>
      </c>
      <c r="G659">
        <v>12</v>
      </c>
      <c r="H659">
        <v>300</v>
      </c>
      <c r="I659" t="s">
        <v>19</v>
      </c>
      <c r="J659" t="s">
        <v>12</v>
      </c>
      <c r="K659" t="s">
        <v>23</v>
      </c>
    </row>
    <row r="660" spans="2:11" x14ac:dyDescent="0.25">
      <c r="B660">
        <v>656</v>
      </c>
      <c r="C660" s="1">
        <v>44893</v>
      </c>
      <c r="D660" t="s">
        <v>25</v>
      </c>
      <c r="E660" t="s">
        <v>11</v>
      </c>
      <c r="F660">
        <v>60</v>
      </c>
      <c r="G660">
        <v>6</v>
      </c>
      <c r="H660">
        <v>360</v>
      </c>
      <c r="I660" t="s">
        <v>19</v>
      </c>
      <c r="J660" t="s">
        <v>22</v>
      </c>
      <c r="K660" t="s">
        <v>26</v>
      </c>
    </row>
    <row r="661" spans="2:11" x14ac:dyDescent="0.25">
      <c r="B661">
        <v>657</v>
      </c>
      <c r="C661" s="1">
        <v>44936</v>
      </c>
      <c r="D661" t="s">
        <v>27</v>
      </c>
      <c r="E661" t="s">
        <v>18</v>
      </c>
      <c r="F661">
        <v>40</v>
      </c>
      <c r="G661">
        <v>7</v>
      </c>
      <c r="H661">
        <v>280</v>
      </c>
      <c r="J661" t="s">
        <v>12</v>
      </c>
      <c r="K661" t="s">
        <v>26</v>
      </c>
    </row>
    <row r="662" spans="2:11" x14ac:dyDescent="0.25">
      <c r="B662">
        <v>658</v>
      </c>
      <c r="C662" s="1">
        <v>44844</v>
      </c>
      <c r="D662" t="s">
        <v>10</v>
      </c>
      <c r="E662" t="s">
        <v>11</v>
      </c>
      <c r="F662">
        <v>20</v>
      </c>
      <c r="G662">
        <v>12</v>
      </c>
      <c r="H662">
        <v>240</v>
      </c>
      <c r="J662" t="s">
        <v>22</v>
      </c>
      <c r="K662" t="s">
        <v>16</v>
      </c>
    </row>
    <row r="663" spans="2:11" x14ac:dyDescent="0.25">
      <c r="B663">
        <v>659</v>
      </c>
      <c r="C663" s="1">
        <v>44947</v>
      </c>
      <c r="D663" t="s">
        <v>21</v>
      </c>
      <c r="E663" t="s">
        <v>11</v>
      </c>
      <c r="F663">
        <v>20</v>
      </c>
      <c r="G663">
        <v>2</v>
      </c>
      <c r="H663">
        <v>40</v>
      </c>
      <c r="I663" t="s">
        <v>19</v>
      </c>
      <c r="J663" t="s">
        <v>12</v>
      </c>
      <c r="K663" t="s">
        <v>16</v>
      </c>
    </row>
    <row r="664" spans="2:11" x14ac:dyDescent="0.25">
      <c r="B664">
        <v>660</v>
      </c>
      <c r="C664" s="1">
        <v>44767</v>
      </c>
      <c r="D664" t="s">
        <v>25</v>
      </c>
      <c r="E664" t="s">
        <v>11</v>
      </c>
      <c r="F664">
        <v>60</v>
      </c>
      <c r="G664">
        <v>9</v>
      </c>
      <c r="H664">
        <v>540</v>
      </c>
      <c r="I664" t="s">
        <v>15</v>
      </c>
      <c r="J664" t="s">
        <v>22</v>
      </c>
      <c r="K664" t="s">
        <v>13</v>
      </c>
    </row>
    <row r="665" spans="2:11" x14ac:dyDescent="0.25">
      <c r="B665">
        <v>661</v>
      </c>
      <c r="C665" s="1">
        <v>44845</v>
      </c>
      <c r="D665" t="s">
        <v>24</v>
      </c>
      <c r="E665" t="s">
        <v>11</v>
      </c>
      <c r="F665">
        <v>50</v>
      </c>
      <c r="G665">
        <v>7</v>
      </c>
      <c r="H665">
        <v>350</v>
      </c>
      <c r="I665" t="s">
        <v>19</v>
      </c>
      <c r="J665" t="s">
        <v>22</v>
      </c>
      <c r="K665" t="s">
        <v>26</v>
      </c>
    </row>
    <row r="666" spans="2:11" x14ac:dyDescent="0.25">
      <c r="B666">
        <v>662</v>
      </c>
      <c r="C666" s="1">
        <v>44972</v>
      </c>
      <c r="D666" t="s">
        <v>21</v>
      </c>
      <c r="E666" t="s">
        <v>11</v>
      </c>
      <c r="F666">
        <v>20</v>
      </c>
      <c r="G666">
        <v>3</v>
      </c>
      <c r="H666">
        <v>60</v>
      </c>
      <c r="I666" t="s">
        <v>19</v>
      </c>
      <c r="J666" t="s">
        <v>22</v>
      </c>
      <c r="K666" t="s">
        <v>16</v>
      </c>
    </row>
    <row r="667" spans="2:11" x14ac:dyDescent="0.25">
      <c r="B667">
        <v>663</v>
      </c>
      <c r="C667" s="1">
        <v>44962</v>
      </c>
      <c r="D667" t="s">
        <v>17</v>
      </c>
      <c r="E667" t="s">
        <v>18</v>
      </c>
      <c r="F667">
        <v>25</v>
      </c>
      <c r="G667">
        <v>1</v>
      </c>
      <c r="H667">
        <v>25</v>
      </c>
      <c r="I667" t="s">
        <v>19</v>
      </c>
      <c r="J667" t="s">
        <v>12</v>
      </c>
      <c r="K667" t="s">
        <v>13</v>
      </c>
    </row>
    <row r="668" spans="2:11" x14ac:dyDescent="0.25">
      <c r="B668">
        <v>664</v>
      </c>
      <c r="C668" s="1">
        <v>44865</v>
      </c>
      <c r="D668" t="s">
        <v>24</v>
      </c>
      <c r="E668" t="s">
        <v>11</v>
      </c>
      <c r="F668">
        <v>50</v>
      </c>
      <c r="G668">
        <v>10</v>
      </c>
      <c r="H668">
        <v>500</v>
      </c>
      <c r="I668" t="s">
        <v>19</v>
      </c>
      <c r="J668" t="s">
        <v>22</v>
      </c>
      <c r="K668" t="s">
        <v>23</v>
      </c>
    </row>
    <row r="669" spans="2:11" x14ac:dyDescent="0.25">
      <c r="B669">
        <v>665</v>
      </c>
      <c r="C669" s="1">
        <v>44687</v>
      </c>
      <c r="D669" t="s">
        <v>10</v>
      </c>
      <c r="E669" t="s">
        <v>11</v>
      </c>
      <c r="F669">
        <v>20</v>
      </c>
      <c r="G669">
        <v>14</v>
      </c>
      <c r="H669">
        <v>280</v>
      </c>
      <c r="I669" t="s">
        <v>19</v>
      </c>
      <c r="J669" t="s">
        <v>22</v>
      </c>
      <c r="K669" t="s">
        <v>20</v>
      </c>
    </row>
    <row r="670" spans="2:11" x14ac:dyDescent="0.25">
      <c r="B670">
        <v>666</v>
      </c>
      <c r="C670" s="1">
        <v>44951</v>
      </c>
      <c r="D670" t="s">
        <v>21</v>
      </c>
      <c r="E670" t="s">
        <v>11</v>
      </c>
      <c r="F670">
        <v>20</v>
      </c>
      <c r="G670">
        <v>9</v>
      </c>
      <c r="H670">
        <v>180</v>
      </c>
      <c r="I670" t="s">
        <v>15</v>
      </c>
      <c r="J670" t="s">
        <v>12</v>
      </c>
      <c r="K670" t="s">
        <v>20</v>
      </c>
    </row>
    <row r="671" spans="2:11" x14ac:dyDescent="0.25">
      <c r="B671">
        <v>667</v>
      </c>
      <c r="C671" s="1">
        <v>44832</v>
      </c>
      <c r="D671" t="s">
        <v>14</v>
      </c>
      <c r="E671" t="s">
        <v>11</v>
      </c>
      <c r="F671">
        <v>20</v>
      </c>
      <c r="G671">
        <v>3</v>
      </c>
      <c r="H671">
        <v>60</v>
      </c>
      <c r="I671" t="s">
        <v>15</v>
      </c>
      <c r="J671" t="s">
        <v>22</v>
      </c>
      <c r="K671" t="s">
        <v>20</v>
      </c>
    </row>
    <row r="672" spans="2:11" x14ac:dyDescent="0.25">
      <c r="B672">
        <v>668</v>
      </c>
      <c r="C672" s="1">
        <v>44692</v>
      </c>
      <c r="D672" t="s">
        <v>10</v>
      </c>
      <c r="E672" t="s">
        <v>11</v>
      </c>
      <c r="F672">
        <v>20</v>
      </c>
      <c r="G672">
        <v>4</v>
      </c>
      <c r="H672">
        <v>80</v>
      </c>
      <c r="I672" t="s">
        <v>19</v>
      </c>
      <c r="J672" t="s">
        <v>12</v>
      </c>
      <c r="K672" t="s">
        <v>23</v>
      </c>
    </row>
    <row r="673" spans="2:11" x14ac:dyDescent="0.25">
      <c r="B673">
        <v>669</v>
      </c>
      <c r="C673" s="1">
        <v>45003</v>
      </c>
      <c r="D673" t="s">
        <v>25</v>
      </c>
      <c r="E673" t="s">
        <v>11</v>
      </c>
      <c r="F673">
        <v>60</v>
      </c>
      <c r="G673">
        <v>11</v>
      </c>
      <c r="H673">
        <v>660</v>
      </c>
      <c r="I673" t="s">
        <v>19</v>
      </c>
      <c r="J673" t="s">
        <v>12</v>
      </c>
      <c r="K673" t="s">
        <v>20</v>
      </c>
    </row>
    <row r="674" spans="2:11" x14ac:dyDescent="0.25">
      <c r="B674">
        <v>670</v>
      </c>
      <c r="C674" s="1">
        <v>44747</v>
      </c>
      <c r="D674" t="s">
        <v>21</v>
      </c>
      <c r="E674" t="s">
        <v>11</v>
      </c>
      <c r="F674">
        <v>20</v>
      </c>
      <c r="G674">
        <v>15</v>
      </c>
      <c r="H674">
        <v>300</v>
      </c>
      <c r="I674" t="s">
        <v>15</v>
      </c>
      <c r="J674" t="s">
        <v>12</v>
      </c>
      <c r="K674" t="s">
        <v>13</v>
      </c>
    </row>
    <row r="675" spans="2:11" x14ac:dyDescent="0.25">
      <c r="B675">
        <v>671</v>
      </c>
      <c r="C675" s="1">
        <v>44843</v>
      </c>
      <c r="D675" t="s">
        <v>25</v>
      </c>
      <c r="E675" t="s">
        <v>11</v>
      </c>
      <c r="F675">
        <v>60</v>
      </c>
      <c r="G675">
        <v>2</v>
      </c>
      <c r="H675">
        <v>120</v>
      </c>
      <c r="I675" t="s">
        <v>19</v>
      </c>
      <c r="J675" t="s">
        <v>12</v>
      </c>
      <c r="K675" t="s">
        <v>16</v>
      </c>
    </row>
    <row r="676" spans="2:11" x14ac:dyDescent="0.25">
      <c r="B676">
        <v>672</v>
      </c>
      <c r="C676" s="1">
        <v>44889</v>
      </c>
      <c r="D676" t="s">
        <v>27</v>
      </c>
      <c r="E676" t="s">
        <v>18</v>
      </c>
      <c r="F676">
        <v>40</v>
      </c>
      <c r="G676">
        <v>3</v>
      </c>
      <c r="H676">
        <v>120</v>
      </c>
      <c r="J676" t="s">
        <v>22</v>
      </c>
      <c r="K676" t="s">
        <v>20</v>
      </c>
    </row>
    <row r="677" spans="2:11" x14ac:dyDescent="0.25">
      <c r="B677">
        <v>673</v>
      </c>
      <c r="C677" s="1">
        <v>44821</v>
      </c>
      <c r="D677" t="s">
        <v>25</v>
      </c>
      <c r="E677" t="s">
        <v>11</v>
      </c>
      <c r="F677">
        <v>60</v>
      </c>
      <c r="G677">
        <v>12</v>
      </c>
      <c r="H677">
        <v>720</v>
      </c>
      <c r="I677" t="s">
        <v>15</v>
      </c>
      <c r="J677" t="s">
        <v>12</v>
      </c>
      <c r="K677" t="s">
        <v>26</v>
      </c>
    </row>
    <row r="678" spans="2:11" x14ac:dyDescent="0.25">
      <c r="B678">
        <v>674</v>
      </c>
      <c r="C678" s="1">
        <v>44759</v>
      </c>
      <c r="D678" t="s">
        <v>17</v>
      </c>
      <c r="E678" t="s">
        <v>18</v>
      </c>
      <c r="F678">
        <v>25</v>
      </c>
      <c r="G678">
        <v>13</v>
      </c>
      <c r="H678">
        <v>325</v>
      </c>
      <c r="J678" t="s">
        <v>12</v>
      </c>
      <c r="K678" t="s">
        <v>23</v>
      </c>
    </row>
    <row r="679" spans="2:11" x14ac:dyDescent="0.25">
      <c r="B679">
        <v>675</v>
      </c>
      <c r="C679" s="1">
        <v>44668</v>
      </c>
      <c r="D679" t="s">
        <v>25</v>
      </c>
      <c r="E679" t="s">
        <v>11</v>
      </c>
      <c r="F679">
        <v>60</v>
      </c>
      <c r="G679">
        <v>12</v>
      </c>
      <c r="H679">
        <v>720</v>
      </c>
      <c r="I679" t="s">
        <v>15</v>
      </c>
      <c r="J679" t="s">
        <v>12</v>
      </c>
      <c r="K679" t="s">
        <v>13</v>
      </c>
    </row>
    <row r="680" spans="2:11" x14ac:dyDescent="0.25">
      <c r="B680">
        <v>676</v>
      </c>
      <c r="C680" s="1">
        <v>44685</v>
      </c>
      <c r="D680" t="s">
        <v>24</v>
      </c>
      <c r="E680" t="s">
        <v>11</v>
      </c>
      <c r="F680">
        <v>50</v>
      </c>
      <c r="G680">
        <v>7</v>
      </c>
      <c r="H680">
        <v>350</v>
      </c>
      <c r="I680" t="s">
        <v>15</v>
      </c>
      <c r="J680" t="s">
        <v>22</v>
      </c>
      <c r="K680" t="s">
        <v>20</v>
      </c>
    </row>
    <row r="681" spans="2:11" x14ac:dyDescent="0.25">
      <c r="B681">
        <v>677</v>
      </c>
      <c r="C681" s="1">
        <v>44700</v>
      </c>
      <c r="D681" t="s">
        <v>27</v>
      </c>
      <c r="E681" t="s">
        <v>18</v>
      </c>
      <c r="F681">
        <v>40</v>
      </c>
      <c r="G681">
        <v>3</v>
      </c>
      <c r="H681">
        <v>120</v>
      </c>
      <c r="I681" t="s">
        <v>19</v>
      </c>
      <c r="J681" t="s">
        <v>22</v>
      </c>
      <c r="K681" t="s">
        <v>23</v>
      </c>
    </row>
    <row r="682" spans="2:11" x14ac:dyDescent="0.25">
      <c r="B682">
        <v>678</v>
      </c>
      <c r="C682" s="1">
        <v>44704</v>
      </c>
      <c r="D682" t="s">
        <v>10</v>
      </c>
      <c r="E682" t="s">
        <v>11</v>
      </c>
      <c r="F682">
        <v>20</v>
      </c>
      <c r="G682">
        <v>3</v>
      </c>
      <c r="H682">
        <v>60</v>
      </c>
      <c r="I682" t="s">
        <v>19</v>
      </c>
      <c r="J682" t="s">
        <v>12</v>
      </c>
      <c r="K682" t="s">
        <v>20</v>
      </c>
    </row>
    <row r="683" spans="2:11" x14ac:dyDescent="0.25">
      <c r="B683">
        <v>679</v>
      </c>
      <c r="C683" s="1">
        <v>44867</v>
      </c>
      <c r="D683" t="s">
        <v>25</v>
      </c>
      <c r="E683" t="s">
        <v>11</v>
      </c>
      <c r="F683">
        <v>60</v>
      </c>
      <c r="G683">
        <v>12</v>
      </c>
      <c r="H683">
        <v>720</v>
      </c>
      <c r="I683" t="s">
        <v>19</v>
      </c>
      <c r="J683" t="s">
        <v>12</v>
      </c>
      <c r="K683" t="s">
        <v>23</v>
      </c>
    </row>
    <row r="684" spans="2:11" x14ac:dyDescent="0.25">
      <c r="B684">
        <v>680</v>
      </c>
      <c r="C684" s="1">
        <v>44671</v>
      </c>
      <c r="D684" t="s">
        <v>27</v>
      </c>
      <c r="E684" t="s">
        <v>18</v>
      </c>
      <c r="F684">
        <v>40</v>
      </c>
      <c r="G684">
        <v>4</v>
      </c>
      <c r="H684">
        <v>160</v>
      </c>
      <c r="I684" t="s">
        <v>15</v>
      </c>
      <c r="J684" t="s">
        <v>12</v>
      </c>
      <c r="K684" t="s">
        <v>13</v>
      </c>
    </row>
    <row r="685" spans="2:11" x14ac:dyDescent="0.25">
      <c r="B685">
        <v>681</v>
      </c>
      <c r="C685" s="1">
        <v>44904</v>
      </c>
      <c r="D685" t="s">
        <v>24</v>
      </c>
      <c r="E685" t="s">
        <v>11</v>
      </c>
      <c r="F685">
        <v>50</v>
      </c>
      <c r="G685">
        <v>9</v>
      </c>
      <c r="H685">
        <v>450</v>
      </c>
      <c r="I685" t="s">
        <v>19</v>
      </c>
      <c r="J685" t="s">
        <v>22</v>
      </c>
      <c r="K685" t="s">
        <v>13</v>
      </c>
    </row>
    <row r="686" spans="2:11" x14ac:dyDescent="0.25">
      <c r="B686">
        <v>682</v>
      </c>
      <c r="C686" s="1">
        <v>44845</v>
      </c>
      <c r="D686" t="s">
        <v>10</v>
      </c>
      <c r="E686" t="s">
        <v>11</v>
      </c>
      <c r="F686">
        <v>20</v>
      </c>
      <c r="G686">
        <v>14</v>
      </c>
      <c r="H686">
        <v>280</v>
      </c>
      <c r="I686" t="s">
        <v>19</v>
      </c>
      <c r="J686" t="s">
        <v>12</v>
      </c>
      <c r="K686" t="s">
        <v>26</v>
      </c>
    </row>
    <row r="687" spans="2:11" x14ac:dyDescent="0.25">
      <c r="B687">
        <v>683</v>
      </c>
      <c r="C687" s="1">
        <v>44785</v>
      </c>
      <c r="D687" t="s">
        <v>24</v>
      </c>
      <c r="E687" t="s">
        <v>11</v>
      </c>
      <c r="F687">
        <v>50</v>
      </c>
      <c r="G687">
        <v>15</v>
      </c>
      <c r="H687">
        <v>750</v>
      </c>
      <c r="I687" t="s">
        <v>15</v>
      </c>
      <c r="J687" t="s">
        <v>12</v>
      </c>
      <c r="K687" t="s">
        <v>26</v>
      </c>
    </row>
    <row r="688" spans="2:11" x14ac:dyDescent="0.25">
      <c r="B688">
        <v>684</v>
      </c>
      <c r="C688" s="1">
        <v>44822</v>
      </c>
      <c r="D688" t="s">
        <v>14</v>
      </c>
      <c r="E688" t="s">
        <v>11</v>
      </c>
      <c r="F688">
        <v>20</v>
      </c>
      <c r="G688">
        <v>5</v>
      </c>
      <c r="H688">
        <v>100</v>
      </c>
      <c r="I688" t="s">
        <v>15</v>
      </c>
      <c r="J688" t="s">
        <v>12</v>
      </c>
      <c r="K688" t="s">
        <v>16</v>
      </c>
    </row>
    <row r="689" spans="2:11" x14ac:dyDescent="0.25">
      <c r="B689">
        <v>685</v>
      </c>
      <c r="C689" s="1">
        <v>44701</v>
      </c>
      <c r="D689" t="s">
        <v>10</v>
      </c>
      <c r="E689" t="s">
        <v>11</v>
      </c>
      <c r="F689">
        <v>20</v>
      </c>
      <c r="G689">
        <v>3</v>
      </c>
      <c r="H689">
        <v>60</v>
      </c>
      <c r="I689" t="s">
        <v>15</v>
      </c>
      <c r="J689" t="s">
        <v>22</v>
      </c>
      <c r="K689" t="s">
        <v>16</v>
      </c>
    </row>
    <row r="690" spans="2:11" x14ac:dyDescent="0.25">
      <c r="B690">
        <v>686</v>
      </c>
      <c r="C690" s="1">
        <v>44890</v>
      </c>
      <c r="D690" t="s">
        <v>27</v>
      </c>
      <c r="E690" t="s">
        <v>18</v>
      </c>
      <c r="F690">
        <v>40</v>
      </c>
      <c r="G690">
        <v>5</v>
      </c>
      <c r="H690">
        <v>200</v>
      </c>
      <c r="I690" t="s">
        <v>15</v>
      </c>
      <c r="J690" t="s">
        <v>12</v>
      </c>
      <c r="K690" t="s">
        <v>16</v>
      </c>
    </row>
    <row r="691" spans="2:11" x14ac:dyDescent="0.25">
      <c r="B691">
        <v>687</v>
      </c>
      <c r="C691" s="1">
        <v>44913</v>
      </c>
      <c r="D691" t="s">
        <v>14</v>
      </c>
      <c r="E691" t="s">
        <v>11</v>
      </c>
      <c r="F691">
        <v>20</v>
      </c>
      <c r="G691">
        <v>10</v>
      </c>
      <c r="H691">
        <v>200</v>
      </c>
      <c r="I691" t="s">
        <v>15</v>
      </c>
      <c r="J691" t="s">
        <v>22</v>
      </c>
      <c r="K691" t="s">
        <v>26</v>
      </c>
    </row>
    <row r="692" spans="2:11" x14ac:dyDescent="0.25">
      <c r="B692">
        <v>688</v>
      </c>
      <c r="C692" s="1">
        <v>44695</v>
      </c>
      <c r="D692" t="s">
        <v>24</v>
      </c>
      <c r="E692" t="s">
        <v>11</v>
      </c>
      <c r="F692">
        <v>50</v>
      </c>
      <c r="G692">
        <v>5</v>
      </c>
      <c r="H692">
        <v>250</v>
      </c>
      <c r="I692" t="s">
        <v>19</v>
      </c>
      <c r="J692" t="s">
        <v>12</v>
      </c>
      <c r="K692" t="s">
        <v>16</v>
      </c>
    </row>
    <row r="693" spans="2:11" x14ac:dyDescent="0.25">
      <c r="B693">
        <v>689</v>
      </c>
      <c r="C693" s="1">
        <v>44786</v>
      </c>
      <c r="D693" t="s">
        <v>14</v>
      </c>
      <c r="E693" t="s">
        <v>11</v>
      </c>
      <c r="F693">
        <v>20</v>
      </c>
      <c r="G693">
        <v>6</v>
      </c>
      <c r="H693">
        <v>120</v>
      </c>
      <c r="I693" t="s">
        <v>15</v>
      </c>
      <c r="J693" t="s">
        <v>22</v>
      </c>
      <c r="K693" t="s">
        <v>16</v>
      </c>
    </row>
    <row r="694" spans="2:11" x14ac:dyDescent="0.25">
      <c r="B694">
        <v>690</v>
      </c>
      <c r="C694" s="1">
        <v>44839</v>
      </c>
      <c r="D694" t="s">
        <v>14</v>
      </c>
      <c r="E694" t="s">
        <v>11</v>
      </c>
      <c r="F694">
        <v>20</v>
      </c>
      <c r="G694">
        <v>9</v>
      </c>
      <c r="H694">
        <v>180</v>
      </c>
      <c r="I694" t="s">
        <v>15</v>
      </c>
      <c r="J694" t="s">
        <v>22</v>
      </c>
      <c r="K694" t="s">
        <v>13</v>
      </c>
    </row>
    <row r="695" spans="2:11" x14ac:dyDescent="0.25">
      <c r="B695">
        <v>691</v>
      </c>
      <c r="C695" s="1">
        <v>44652</v>
      </c>
      <c r="D695" t="s">
        <v>25</v>
      </c>
      <c r="E695" t="s">
        <v>11</v>
      </c>
      <c r="F695">
        <v>60</v>
      </c>
      <c r="G695">
        <v>7</v>
      </c>
      <c r="H695">
        <v>420</v>
      </c>
      <c r="I695" t="s">
        <v>15</v>
      </c>
      <c r="J695" t="s">
        <v>22</v>
      </c>
      <c r="K695" t="s">
        <v>20</v>
      </c>
    </row>
    <row r="696" spans="2:11" x14ac:dyDescent="0.25">
      <c r="B696">
        <v>692</v>
      </c>
      <c r="C696" s="1">
        <v>44939</v>
      </c>
      <c r="D696" t="s">
        <v>24</v>
      </c>
      <c r="E696" t="s">
        <v>11</v>
      </c>
      <c r="F696">
        <v>50</v>
      </c>
      <c r="G696">
        <v>14</v>
      </c>
      <c r="H696">
        <v>700</v>
      </c>
      <c r="I696" t="s">
        <v>19</v>
      </c>
      <c r="J696" t="s">
        <v>12</v>
      </c>
      <c r="K696" t="s">
        <v>16</v>
      </c>
    </row>
    <row r="697" spans="2:11" x14ac:dyDescent="0.25">
      <c r="B697">
        <v>693</v>
      </c>
      <c r="C697" s="1">
        <v>44894</v>
      </c>
      <c r="D697" t="s">
        <v>17</v>
      </c>
      <c r="E697" t="s">
        <v>18</v>
      </c>
      <c r="F697">
        <v>25</v>
      </c>
      <c r="G697">
        <v>13</v>
      </c>
      <c r="H697">
        <v>325</v>
      </c>
      <c r="I697" t="s">
        <v>19</v>
      </c>
      <c r="J697" t="s">
        <v>22</v>
      </c>
      <c r="K697" t="s">
        <v>26</v>
      </c>
    </row>
    <row r="698" spans="2:11" x14ac:dyDescent="0.25">
      <c r="B698">
        <v>694</v>
      </c>
      <c r="C698" s="1">
        <v>44673</v>
      </c>
      <c r="D698" t="s">
        <v>21</v>
      </c>
      <c r="E698" t="s">
        <v>11</v>
      </c>
      <c r="F698">
        <v>20</v>
      </c>
      <c r="G698">
        <v>14</v>
      </c>
      <c r="H698">
        <v>280</v>
      </c>
      <c r="I698" t="s">
        <v>15</v>
      </c>
      <c r="J698" t="s">
        <v>12</v>
      </c>
      <c r="K698" t="s">
        <v>26</v>
      </c>
    </row>
    <row r="699" spans="2:11" x14ac:dyDescent="0.25">
      <c r="B699">
        <v>695</v>
      </c>
      <c r="C699" s="1">
        <v>44797</v>
      </c>
      <c r="D699" t="s">
        <v>21</v>
      </c>
      <c r="E699" t="s">
        <v>11</v>
      </c>
      <c r="F699">
        <v>20</v>
      </c>
      <c r="G699">
        <v>10</v>
      </c>
      <c r="H699">
        <v>200</v>
      </c>
      <c r="I699" t="s">
        <v>19</v>
      </c>
      <c r="J699" t="s">
        <v>22</v>
      </c>
      <c r="K699" t="s">
        <v>26</v>
      </c>
    </row>
    <row r="700" spans="2:11" x14ac:dyDescent="0.25">
      <c r="B700">
        <v>696</v>
      </c>
      <c r="C700" s="1">
        <v>44980</v>
      </c>
      <c r="D700" t="s">
        <v>17</v>
      </c>
      <c r="E700" t="s">
        <v>18</v>
      </c>
      <c r="F700">
        <v>25</v>
      </c>
      <c r="G700">
        <v>3</v>
      </c>
      <c r="H700">
        <v>75</v>
      </c>
      <c r="I700" t="s">
        <v>19</v>
      </c>
      <c r="J700" t="s">
        <v>22</v>
      </c>
      <c r="K700" t="s">
        <v>20</v>
      </c>
    </row>
    <row r="701" spans="2:11" x14ac:dyDescent="0.25">
      <c r="B701">
        <v>697</v>
      </c>
      <c r="C701" s="1">
        <v>44686</v>
      </c>
      <c r="D701" t="s">
        <v>17</v>
      </c>
      <c r="E701" t="s">
        <v>18</v>
      </c>
      <c r="F701">
        <v>25</v>
      </c>
      <c r="G701">
        <v>5</v>
      </c>
      <c r="H701">
        <v>125</v>
      </c>
      <c r="I701" t="s">
        <v>15</v>
      </c>
      <c r="J701" t="s">
        <v>12</v>
      </c>
      <c r="K701" t="s">
        <v>26</v>
      </c>
    </row>
    <row r="702" spans="2:11" x14ac:dyDescent="0.25">
      <c r="B702">
        <v>698</v>
      </c>
      <c r="C702" s="1">
        <v>44891</v>
      </c>
      <c r="D702" t="s">
        <v>21</v>
      </c>
      <c r="E702" t="s">
        <v>11</v>
      </c>
      <c r="F702">
        <v>20</v>
      </c>
      <c r="G702">
        <v>10</v>
      </c>
      <c r="H702">
        <v>200</v>
      </c>
      <c r="I702" t="s">
        <v>19</v>
      </c>
      <c r="J702" t="s">
        <v>12</v>
      </c>
      <c r="K702" t="s">
        <v>13</v>
      </c>
    </row>
    <row r="703" spans="2:11" x14ac:dyDescent="0.25">
      <c r="B703">
        <v>699</v>
      </c>
      <c r="C703" s="1">
        <v>44813</v>
      </c>
      <c r="D703" t="s">
        <v>27</v>
      </c>
      <c r="E703" t="s">
        <v>18</v>
      </c>
      <c r="F703">
        <v>40</v>
      </c>
      <c r="G703">
        <v>1</v>
      </c>
      <c r="H703">
        <v>40</v>
      </c>
      <c r="I703" t="s">
        <v>19</v>
      </c>
      <c r="J703" t="s">
        <v>12</v>
      </c>
      <c r="K703" t="s">
        <v>20</v>
      </c>
    </row>
    <row r="704" spans="2:11" x14ac:dyDescent="0.25">
      <c r="B704">
        <v>700</v>
      </c>
      <c r="C704" s="1">
        <v>44880</v>
      </c>
      <c r="D704" t="s">
        <v>24</v>
      </c>
      <c r="E704" t="s">
        <v>11</v>
      </c>
      <c r="F704">
        <v>50</v>
      </c>
      <c r="G704">
        <v>6</v>
      </c>
      <c r="H704">
        <v>300</v>
      </c>
      <c r="I704" t="s">
        <v>15</v>
      </c>
      <c r="J704" t="s">
        <v>22</v>
      </c>
      <c r="K704" t="s">
        <v>20</v>
      </c>
    </row>
    <row r="705" spans="2:11" x14ac:dyDescent="0.25">
      <c r="B705">
        <v>701</v>
      </c>
      <c r="C705" s="1">
        <v>44761</v>
      </c>
      <c r="D705" t="s">
        <v>17</v>
      </c>
      <c r="E705" t="s">
        <v>18</v>
      </c>
      <c r="F705">
        <v>25</v>
      </c>
      <c r="G705">
        <v>14</v>
      </c>
      <c r="H705">
        <v>350</v>
      </c>
      <c r="I705" t="s">
        <v>19</v>
      </c>
      <c r="J705" t="s">
        <v>22</v>
      </c>
      <c r="K705" t="s">
        <v>20</v>
      </c>
    </row>
    <row r="706" spans="2:11" x14ac:dyDescent="0.25">
      <c r="B706">
        <v>702</v>
      </c>
      <c r="C706" s="1">
        <v>45010</v>
      </c>
      <c r="D706" t="s">
        <v>27</v>
      </c>
      <c r="E706" t="s">
        <v>18</v>
      </c>
      <c r="F706">
        <v>40</v>
      </c>
      <c r="G706">
        <v>13</v>
      </c>
      <c r="H706">
        <v>520</v>
      </c>
      <c r="I706" t="s">
        <v>15</v>
      </c>
      <c r="J706" t="s">
        <v>22</v>
      </c>
      <c r="K706" t="s">
        <v>16</v>
      </c>
    </row>
    <row r="707" spans="2:11" x14ac:dyDescent="0.25">
      <c r="B707">
        <v>703</v>
      </c>
      <c r="C707" s="1">
        <v>44866</v>
      </c>
      <c r="D707" t="s">
        <v>21</v>
      </c>
      <c r="E707" t="s">
        <v>11</v>
      </c>
      <c r="F707">
        <v>20</v>
      </c>
      <c r="G707">
        <v>10</v>
      </c>
      <c r="H707">
        <v>200</v>
      </c>
      <c r="I707" t="s">
        <v>19</v>
      </c>
      <c r="J707" t="s">
        <v>22</v>
      </c>
      <c r="K707" t="s">
        <v>16</v>
      </c>
    </row>
    <row r="708" spans="2:11" x14ac:dyDescent="0.25">
      <c r="B708">
        <v>704</v>
      </c>
      <c r="C708" s="1">
        <v>44787</v>
      </c>
      <c r="D708" t="s">
        <v>25</v>
      </c>
      <c r="E708" t="s">
        <v>11</v>
      </c>
      <c r="F708">
        <v>60</v>
      </c>
      <c r="G708">
        <v>1</v>
      </c>
      <c r="H708">
        <v>60</v>
      </c>
      <c r="I708" t="s">
        <v>19</v>
      </c>
      <c r="J708" t="s">
        <v>22</v>
      </c>
      <c r="K708" t="s">
        <v>20</v>
      </c>
    </row>
    <row r="709" spans="2:11" x14ac:dyDescent="0.25">
      <c r="B709">
        <v>705</v>
      </c>
      <c r="C709" s="1">
        <v>44841</v>
      </c>
      <c r="D709" t="s">
        <v>25</v>
      </c>
      <c r="E709" t="s">
        <v>11</v>
      </c>
      <c r="F709">
        <v>60</v>
      </c>
      <c r="G709">
        <v>6</v>
      </c>
      <c r="H709">
        <v>360</v>
      </c>
      <c r="I709" t="s">
        <v>19</v>
      </c>
      <c r="J709" t="s">
        <v>12</v>
      </c>
      <c r="K709" t="s">
        <v>20</v>
      </c>
    </row>
    <row r="710" spans="2:11" x14ac:dyDescent="0.25">
      <c r="B710">
        <v>706</v>
      </c>
      <c r="C710" s="1">
        <v>44962</v>
      </c>
      <c r="D710" t="s">
        <v>24</v>
      </c>
      <c r="E710" t="s">
        <v>11</v>
      </c>
      <c r="F710">
        <v>50</v>
      </c>
      <c r="G710">
        <v>8</v>
      </c>
      <c r="H710">
        <v>400</v>
      </c>
      <c r="I710" t="s">
        <v>19</v>
      </c>
      <c r="J710" t="s">
        <v>12</v>
      </c>
      <c r="K710" t="s">
        <v>13</v>
      </c>
    </row>
    <row r="711" spans="2:11" x14ac:dyDescent="0.25">
      <c r="B711">
        <v>707</v>
      </c>
      <c r="C711" s="1">
        <v>44911</v>
      </c>
      <c r="D711" t="s">
        <v>21</v>
      </c>
      <c r="E711" t="s">
        <v>11</v>
      </c>
      <c r="F711">
        <v>20</v>
      </c>
      <c r="G711">
        <v>2</v>
      </c>
      <c r="H711">
        <v>40</v>
      </c>
      <c r="I711" t="s">
        <v>19</v>
      </c>
      <c r="J711" t="s">
        <v>12</v>
      </c>
      <c r="K711" t="s">
        <v>13</v>
      </c>
    </row>
    <row r="712" spans="2:11" x14ac:dyDescent="0.25">
      <c r="B712">
        <v>708</v>
      </c>
      <c r="C712" s="1">
        <v>45000</v>
      </c>
      <c r="D712" t="s">
        <v>25</v>
      </c>
      <c r="E712" t="s">
        <v>11</v>
      </c>
      <c r="F712">
        <v>60</v>
      </c>
      <c r="G712">
        <v>5</v>
      </c>
      <c r="H712">
        <v>300</v>
      </c>
      <c r="I712" t="s">
        <v>15</v>
      </c>
      <c r="J712" t="s">
        <v>22</v>
      </c>
      <c r="K712" t="s">
        <v>26</v>
      </c>
    </row>
    <row r="713" spans="2:11" x14ac:dyDescent="0.25">
      <c r="B713">
        <v>709</v>
      </c>
      <c r="C713" s="1">
        <v>44979</v>
      </c>
      <c r="D713" t="s">
        <v>27</v>
      </c>
      <c r="E713" t="s">
        <v>18</v>
      </c>
      <c r="F713">
        <v>40</v>
      </c>
      <c r="G713">
        <v>6</v>
      </c>
      <c r="H713">
        <v>240</v>
      </c>
      <c r="I713" t="s">
        <v>15</v>
      </c>
      <c r="J713" t="s">
        <v>12</v>
      </c>
      <c r="K713" t="s">
        <v>23</v>
      </c>
    </row>
    <row r="714" spans="2:11" x14ac:dyDescent="0.25">
      <c r="B714">
        <v>710</v>
      </c>
      <c r="C714" s="1">
        <v>45000</v>
      </c>
      <c r="D714" t="s">
        <v>25</v>
      </c>
      <c r="E714" t="s">
        <v>11</v>
      </c>
      <c r="F714">
        <v>60</v>
      </c>
      <c r="G714">
        <v>15</v>
      </c>
      <c r="H714">
        <v>900</v>
      </c>
      <c r="J714" t="s">
        <v>12</v>
      </c>
      <c r="K714" t="s">
        <v>13</v>
      </c>
    </row>
    <row r="715" spans="2:11" x14ac:dyDescent="0.25">
      <c r="B715">
        <v>711</v>
      </c>
      <c r="C715" s="1">
        <v>44864</v>
      </c>
      <c r="D715" t="s">
        <v>10</v>
      </c>
      <c r="E715" t="s">
        <v>11</v>
      </c>
      <c r="F715">
        <v>20</v>
      </c>
      <c r="G715">
        <v>3</v>
      </c>
      <c r="H715">
        <v>60</v>
      </c>
      <c r="I715" t="s">
        <v>15</v>
      </c>
      <c r="J715" t="s">
        <v>12</v>
      </c>
      <c r="K715" t="s">
        <v>16</v>
      </c>
    </row>
    <row r="716" spans="2:11" x14ac:dyDescent="0.25">
      <c r="B716">
        <v>712</v>
      </c>
      <c r="C716" s="1">
        <v>44912</v>
      </c>
      <c r="D716" t="s">
        <v>14</v>
      </c>
      <c r="E716" t="s">
        <v>11</v>
      </c>
      <c r="F716">
        <v>20</v>
      </c>
      <c r="G716">
        <v>3</v>
      </c>
      <c r="H716">
        <v>60</v>
      </c>
      <c r="I716" t="s">
        <v>19</v>
      </c>
      <c r="J716" t="s">
        <v>22</v>
      </c>
      <c r="K716" t="s">
        <v>26</v>
      </c>
    </row>
    <row r="717" spans="2:11" x14ac:dyDescent="0.25">
      <c r="B717">
        <v>713</v>
      </c>
      <c r="C717" s="1">
        <v>44897</v>
      </c>
      <c r="D717" t="s">
        <v>17</v>
      </c>
      <c r="E717" t="s">
        <v>18</v>
      </c>
      <c r="F717">
        <v>25</v>
      </c>
      <c r="G717">
        <v>14</v>
      </c>
      <c r="H717">
        <v>350</v>
      </c>
      <c r="I717" t="s">
        <v>19</v>
      </c>
      <c r="J717" t="s">
        <v>22</v>
      </c>
      <c r="K717" t="s">
        <v>23</v>
      </c>
    </row>
    <row r="718" spans="2:11" x14ac:dyDescent="0.25">
      <c r="B718">
        <v>714</v>
      </c>
      <c r="C718" s="1">
        <v>44909</v>
      </c>
      <c r="D718" t="s">
        <v>17</v>
      </c>
      <c r="E718" t="s">
        <v>18</v>
      </c>
      <c r="F718">
        <v>25</v>
      </c>
      <c r="G718">
        <v>14</v>
      </c>
      <c r="H718">
        <v>350</v>
      </c>
      <c r="I718" t="s">
        <v>15</v>
      </c>
      <c r="J718" t="s">
        <v>12</v>
      </c>
      <c r="K718" t="s">
        <v>16</v>
      </c>
    </row>
    <row r="719" spans="2:11" x14ac:dyDescent="0.25">
      <c r="B719">
        <v>715</v>
      </c>
      <c r="C719" s="1">
        <v>44663</v>
      </c>
      <c r="D719" t="s">
        <v>25</v>
      </c>
      <c r="E719" t="s">
        <v>11</v>
      </c>
      <c r="F719">
        <v>60</v>
      </c>
      <c r="G719">
        <v>1</v>
      </c>
      <c r="H719">
        <v>60</v>
      </c>
      <c r="I719" t="s">
        <v>19</v>
      </c>
      <c r="J719" t="s">
        <v>12</v>
      </c>
      <c r="K719" t="s">
        <v>23</v>
      </c>
    </row>
    <row r="720" spans="2:11" x14ac:dyDescent="0.25">
      <c r="B720">
        <v>716</v>
      </c>
      <c r="C720" s="1">
        <v>44898</v>
      </c>
      <c r="D720" t="s">
        <v>21</v>
      </c>
      <c r="E720" t="s">
        <v>11</v>
      </c>
      <c r="F720">
        <v>20</v>
      </c>
      <c r="G720">
        <v>9</v>
      </c>
      <c r="H720">
        <v>180</v>
      </c>
      <c r="I720" t="s">
        <v>15</v>
      </c>
      <c r="J720" t="s">
        <v>22</v>
      </c>
      <c r="K720" t="s">
        <v>26</v>
      </c>
    </row>
    <row r="721" spans="2:11" x14ac:dyDescent="0.25">
      <c r="B721">
        <v>717</v>
      </c>
      <c r="C721" s="1">
        <v>44845</v>
      </c>
      <c r="D721" t="s">
        <v>17</v>
      </c>
      <c r="E721" t="s">
        <v>18</v>
      </c>
      <c r="F721">
        <v>25</v>
      </c>
      <c r="G721">
        <v>15</v>
      </c>
      <c r="H721">
        <v>375</v>
      </c>
      <c r="J721" t="s">
        <v>22</v>
      </c>
      <c r="K721" t="s">
        <v>20</v>
      </c>
    </row>
    <row r="722" spans="2:11" x14ac:dyDescent="0.25">
      <c r="B722">
        <v>718</v>
      </c>
      <c r="C722" s="1">
        <v>44923</v>
      </c>
      <c r="D722" t="s">
        <v>10</v>
      </c>
      <c r="E722" t="s">
        <v>11</v>
      </c>
      <c r="F722">
        <v>20</v>
      </c>
      <c r="G722">
        <v>2</v>
      </c>
      <c r="H722">
        <v>40</v>
      </c>
      <c r="I722" t="s">
        <v>19</v>
      </c>
      <c r="J722" t="s">
        <v>12</v>
      </c>
      <c r="K722" t="s">
        <v>16</v>
      </c>
    </row>
    <row r="723" spans="2:11" x14ac:dyDescent="0.25">
      <c r="B723">
        <v>719</v>
      </c>
      <c r="C723" s="1">
        <v>44690</v>
      </c>
      <c r="D723" t="s">
        <v>14</v>
      </c>
      <c r="E723" t="s">
        <v>11</v>
      </c>
      <c r="F723">
        <v>20</v>
      </c>
      <c r="G723">
        <v>15</v>
      </c>
      <c r="H723">
        <v>300</v>
      </c>
      <c r="I723" t="s">
        <v>15</v>
      </c>
      <c r="J723" t="s">
        <v>22</v>
      </c>
      <c r="K723" t="s">
        <v>26</v>
      </c>
    </row>
    <row r="724" spans="2:11" x14ac:dyDescent="0.25">
      <c r="B724">
        <v>720</v>
      </c>
      <c r="C724" s="1">
        <v>44691</v>
      </c>
      <c r="D724" t="s">
        <v>24</v>
      </c>
      <c r="E724" t="s">
        <v>11</v>
      </c>
      <c r="F724">
        <v>50</v>
      </c>
      <c r="G724">
        <v>14</v>
      </c>
      <c r="H724">
        <v>700</v>
      </c>
      <c r="I724" t="s">
        <v>15</v>
      </c>
      <c r="J724" t="s">
        <v>22</v>
      </c>
      <c r="K724" t="s">
        <v>23</v>
      </c>
    </row>
    <row r="725" spans="2:11" x14ac:dyDescent="0.25">
      <c r="B725">
        <v>721</v>
      </c>
      <c r="C725" s="1">
        <v>44786</v>
      </c>
      <c r="D725" t="s">
        <v>21</v>
      </c>
      <c r="E725" t="s">
        <v>11</v>
      </c>
      <c r="F725">
        <v>20</v>
      </c>
      <c r="G725">
        <v>12</v>
      </c>
      <c r="H725">
        <v>240</v>
      </c>
      <c r="J725" t="s">
        <v>12</v>
      </c>
      <c r="K725" t="s">
        <v>16</v>
      </c>
    </row>
    <row r="726" spans="2:11" x14ac:dyDescent="0.25">
      <c r="B726">
        <v>722</v>
      </c>
      <c r="C726" s="1">
        <v>44818</v>
      </c>
      <c r="D726" t="s">
        <v>14</v>
      </c>
      <c r="E726" t="s">
        <v>11</v>
      </c>
      <c r="F726">
        <v>20</v>
      </c>
      <c r="G726">
        <v>15</v>
      </c>
      <c r="H726">
        <v>300</v>
      </c>
      <c r="J726" t="s">
        <v>12</v>
      </c>
      <c r="K726" t="s">
        <v>26</v>
      </c>
    </row>
    <row r="727" spans="2:11" x14ac:dyDescent="0.25">
      <c r="B727">
        <v>723</v>
      </c>
      <c r="C727" s="1">
        <v>44973</v>
      </c>
      <c r="D727" t="s">
        <v>27</v>
      </c>
      <c r="E727" t="s">
        <v>18</v>
      </c>
      <c r="F727">
        <v>40</v>
      </c>
      <c r="G727">
        <v>10</v>
      </c>
      <c r="H727">
        <v>400</v>
      </c>
      <c r="I727" t="s">
        <v>19</v>
      </c>
      <c r="J727" t="s">
        <v>12</v>
      </c>
      <c r="K727" t="s">
        <v>20</v>
      </c>
    </row>
    <row r="728" spans="2:11" x14ac:dyDescent="0.25">
      <c r="B728">
        <v>724</v>
      </c>
      <c r="C728" s="1">
        <v>44739</v>
      </c>
      <c r="D728" t="s">
        <v>24</v>
      </c>
      <c r="E728" t="s">
        <v>11</v>
      </c>
      <c r="F728">
        <v>50</v>
      </c>
      <c r="G728">
        <v>10</v>
      </c>
      <c r="H728">
        <v>500</v>
      </c>
      <c r="I728" t="s">
        <v>15</v>
      </c>
      <c r="J728" t="s">
        <v>22</v>
      </c>
      <c r="K728" t="s">
        <v>13</v>
      </c>
    </row>
    <row r="729" spans="2:11" x14ac:dyDescent="0.25">
      <c r="B729">
        <v>725</v>
      </c>
      <c r="C729" s="1">
        <v>44746</v>
      </c>
      <c r="D729" t="s">
        <v>14</v>
      </c>
      <c r="E729" t="s">
        <v>11</v>
      </c>
      <c r="F729">
        <v>20</v>
      </c>
      <c r="G729">
        <v>6</v>
      </c>
      <c r="H729">
        <v>120</v>
      </c>
      <c r="I729" t="s">
        <v>19</v>
      </c>
      <c r="J729" t="s">
        <v>22</v>
      </c>
      <c r="K729" t="s">
        <v>16</v>
      </c>
    </row>
    <row r="730" spans="2:11" x14ac:dyDescent="0.25">
      <c r="B730">
        <v>726</v>
      </c>
      <c r="C730" s="1">
        <v>44815</v>
      </c>
      <c r="D730" t="s">
        <v>21</v>
      </c>
      <c r="E730" t="s">
        <v>11</v>
      </c>
      <c r="F730">
        <v>20</v>
      </c>
      <c r="G730">
        <v>1</v>
      </c>
      <c r="H730">
        <v>20</v>
      </c>
      <c r="I730" t="s">
        <v>19</v>
      </c>
      <c r="J730" t="s">
        <v>12</v>
      </c>
      <c r="K730" t="s">
        <v>23</v>
      </c>
    </row>
    <row r="731" spans="2:11" x14ac:dyDescent="0.25">
      <c r="B731">
        <v>727</v>
      </c>
      <c r="C731" s="1">
        <v>44798</v>
      </c>
      <c r="D731" t="s">
        <v>10</v>
      </c>
      <c r="E731" t="s">
        <v>11</v>
      </c>
      <c r="F731">
        <v>20</v>
      </c>
      <c r="G731">
        <v>5</v>
      </c>
      <c r="H731">
        <v>100</v>
      </c>
      <c r="I731" t="s">
        <v>15</v>
      </c>
      <c r="J731" t="s">
        <v>22</v>
      </c>
      <c r="K731" t="s">
        <v>26</v>
      </c>
    </row>
    <row r="732" spans="2:11" x14ac:dyDescent="0.25">
      <c r="B732">
        <v>728</v>
      </c>
      <c r="C732" s="1">
        <v>44776</v>
      </c>
      <c r="D732" t="s">
        <v>14</v>
      </c>
      <c r="E732" t="s">
        <v>11</v>
      </c>
      <c r="F732">
        <v>20</v>
      </c>
      <c r="G732">
        <v>1</v>
      </c>
      <c r="H732">
        <v>20</v>
      </c>
      <c r="I732" t="s">
        <v>19</v>
      </c>
      <c r="J732" t="s">
        <v>12</v>
      </c>
      <c r="K732" t="s">
        <v>26</v>
      </c>
    </row>
    <row r="733" spans="2:11" x14ac:dyDescent="0.25">
      <c r="B733">
        <v>729</v>
      </c>
      <c r="C733" s="1">
        <v>44889</v>
      </c>
      <c r="D733" t="s">
        <v>25</v>
      </c>
      <c r="E733" t="s">
        <v>11</v>
      </c>
      <c r="F733">
        <v>60</v>
      </c>
      <c r="G733">
        <v>7</v>
      </c>
      <c r="H733">
        <v>420</v>
      </c>
      <c r="I733" t="s">
        <v>15</v>
      </c>
      <c r="J733" t="s">
        <v>12</v>
      </c>
      <c r="K733" t="s">
        <v>13</v>
      </c>
    </row>
    <row r="734" spans="2:11" x14ac:dyDescent="0.25">
      <c r="B734">
        <v>730</v>
      </c>
      <c r="C734" s="1">
        <v>44740</v>
      </c>
      <c r="D734" t="s">
        <v>24</v>
      </c>
      <c r="E734" t="s">
        <v>11</v>
      </c>
      <c r="F734">
        <v>50</v>
      </c>
      <c r="G734">
        <v>13</v>
      </c>
      <c r="H734">
        <v>650</v>
      </c>
      <c r="I734" t="s">
        <v>15</v>
      </c>
      <c r="J734" t="s">
        <v>22</v>
      </c>
      <c r="K734" t="s">
        <v>16</v>
      </c>
    </row>
    <row r="735" spans="2:11" x14ac:dyDescent="0.25">
      <c r="B735">
        <v>731</v>
      </c>
      <c r="C735" s="1">
        <v>44994</v>
      </c>
      <c r="D735" t="s">
        <v>24</v>
      </c>
      <c r="E735" t="s">
        <v>11</v>
      </c>
      <c r="F735">
        <v>50</v>
      </c>
      <c r="G735">
        <v>10</v>
      </c>
      <c r="H735">
        <v>500</v>
      </c>
      <c r="I735" t="s">
        <v>15</v>
      </c>
      <c r="J735" t="s">
        <v>22</v>
      </c>
      <c r="K735" t="s">
        <v>16</v>
      </c>
    </row>
    <row r="736" spans="2:11" x14ac:dyDescent="0.25">
      <c r="B736">
        <v>732</v>
      </c>
      <c r="C736" s="1">
        <v>44725</v>
      </c>
      <c r="D736" t="s">
        <v>21</v>
      </c>
      <c r="E736" t="s">
        <v>11</v>
      </c>
      <c r="F736">
        <v>20</v>
      </c>
      <c r="G736">
        <v>7</v>
      </c>
      <c r="H736">
        <v>140</v>
      </c>
      <c r="J736" t="s">
        <v>22</v>
      </c>
      <c r="K736" t="s">
        <v>26</v>
      </c>
    </row>
    <row r="737" spans="2:11" x14ac:dyDescent="0.25">
      <c r="B737">
        <v>733</v>
      </c>
      <c r="C737" s="1">
        <v>44960</v>
      </c>
      <c r="D737" t="s">
        <v>24</v>
      </c>
      <c r="E737" t="s">
        <v>11</v>
      </c>
      <c r="F737">
        <v>50</v>
      </c>
      <c r="G737">
        <v>10</v>
      </c>
      <c r="H737">
        <v>500</v>
      </c>
      <c r="I737" t="s">
        <v>15</v>
      </c>
      <c r="J737" t="s">
        <v>12</v>
      </c>
      <c r="K737" t="s">
        <v>20</v>
      </c>
    </row>
    <row r="738" spans="2:11" x14ac:dyDescent="0.25">
      <c r="B738">
        <v>734</v>
      </c>
      <c r="C738" s="1">
        <v>44841</v>
      </c>
      <c r="D738" t="s">
        <v>24</v>
      </c>
      <c r="E738" t="s">
        <v>11</v>
      </c>
      <c r="F738">
        <v>50</v>
      </c>
      <c r="G738">
        <v>7</v>
      </c>
      <c r="H738">
        <v>350</v>
      </c>
      <c r="I738" t="s">
        <v>15</v>
      </c>
      <c r="J738" t="s">
        <v>12</v>
      </c>
      <c r="K738" t="s">
        <v>20</v>
      </c>
    </row>
    <row r="739" spans="2:11" x14ac:dyDescent="0.25">
      <c r="B739">
        <v>735</v>
      </c>
      <c r="C739" s="1">
        <v>44783</v>
      </c>
      <c r="D739" t="s">
        <v>21</v>
      </c>
      <c r="E739" t="s">
        <v>11</v>
      </c>
      <c r="F739">
        <v>20</v>
      </c>
      <c r="G739">
        <v>11</v>
      </c>
      <c r="H739">
        <v>220</v>
      </c>
      <c r="I739" t="s">
        <v>15</v>
      </c>
      <c r="J739" t="s">
        <v>12</v>
      </c>
      <c r="K739" t="s">
        <v>23</v>
      </c>
    </row>
    <row r="740" spans="2:11" x14ac:dyDescent="0.25">
      <c r="B740">
        <v>736</v>
      </c>
      <c r="C740" s="1">
        <v>44829</v>
      </c>
      <c r="D740" t="s">
        <v>21</v>
      </c>
      <c r="E740" t="s">
        <v>11</v>
      </c>
      <c r="F740">
        <v>20</v>
      </c>
      <c r="G740">
        <v>13</v>
      </c>
      <c r="H740">
        <v>260</v>
      </c>
      <c r="J740" t="s">
        <v>12</v>
      </c>
      <c r="K740" t="s">
        <v>16</v>
      </c>
    </row>
    <row r="741" spans="2:11" x14ac:dyDescent="0.25">
      <c r="B741">
        <v>737</v>
      </c>
      <c r="C741" s="1">
        <v>44824</v>
      </c>
      <c r="D741" t="s">
        <v>24</v>
      </c>
      <c r="E741" t="s">
        <v>11</v>
      </c>
      <c r="F741">
        <v>50</v>
      </c>
      <c r="G741">
        <v>13</v>
      </c>
      <c r="H741">
        <v>650</v>
      </c>
      <c r="I741" t="s">
        <v>19</v>
      </c>
      <c r="J741" t="s">
        <v>22</v>
      </c>
      <c r="K741" t="s">
        <v>13</v>
      </c>
    </row>
    <row r="742" spans="2:11" x14ac:dyDescent="0.25">
      <c r="B742">
        <v>738</v>
      </c>
      <c r="C742" s="1">
        <v>44986</v>
      </c>
      <c r="D742" t="s">
        <v>25</v>
      </c>
      <c r="E742" t="s">
        <v>11</v>
      </c>
      <c r="F742">
        <v>60</v>
      </c>
      <c r="G742">
        <v>4</v>
      </c>
      <c r="H742">
        <v>240</v>
      </c>
      <c r="I742" t="s">
        <v>19</v>
      </c>
      <c r="J742" t="s">
        <v>22</v>
      </c>
      <c r="K742" t="s">
        <v>23</v>
      </c>
    </row>
    <row r="743" spans="2:11" x14ac:dyDescent="0.25">
      <c r="B743">
        <v>739</v>
      </c>
      <c r="C743" s="1">
        <v>44718</v>
      </c>
      <c r="D743" t="s">
        <v>10</v>
      </c>
      <c r="E743" t="s">
        <v>11</v>
      </c>
      <c r="F743">
        <v>20</v>
      </c>
      <c r="G743">
        <v>11</v>
      </c>
      <c r="H743">
        <v>220</v>
      </c>
      <c r="I743" t="s">
        <v>19</v>
      </c>
      <c r="J743" t="s">
        <v>12</v>
      </c>
      <c r="K743" t="s">
        <v>13</v>
      </c>
    </row>
    <row r="744" spans="2:11" x14ac:dyDescent="0.25">
      <c r="B744">
        <v>740</v>
      </c>
      <c r="C744" s="1">
        <v>44772</v>
      </c>
      <c r="D744" t="s">
        <v>10</v>
      </c>
      <c r="E744" t="s">
        <v>11</v>
      </c>
      <c r="F744">
        <v>20</v>
      </c>
      <c r="G744">
        <v>9</v>
      </c>
      <c r="H744">
        <v>180</v>
      </c>
      <c r="I744" t="s">
        <v>15</v>
      </c>
      <c r="J744" t="s">
        <v>12</v>
      </c>
      <c r="K744" t="s">
        <v>26</v>
      </c>
    </row>
    <row r="745" spans="2:11" x14ac:dyDescent="0.25">
      <c r="B745">
        <v>741</v>
      </c>
      <c r="C745" s="1">
        <v>44758</v>
      </c>
      <c r="D745" t="s">
        <v>10</v>
      </c>
      <c r="E745" t="s">
        <v>11</v>
      </c>
      <c r="F745">
        <v>20</v>
      </c>
      <c r="G745">
        <v>5</v>
      </c>
      <c r="H745">
        <v>100</v>
      </c>
      <c r="I745" t="s">
        <v>19</v>
      </c>
      <c r="J745" t="s">
        <v>12</v>
      </c>
      <c r="K745" t="s">
        <v>16</v>
      </c>
    </row>
    <row r="746" spans="2:11" x14ac:dyDescent="0.25">
      <c r="B746">
        <v>742</v>
      </c>
      <c r="C746" s="1">
        <v>44883</v>
      </c>
      <c r="D746" t="s">
        <v>21</v>
      </c>
      <c r="E746" t="s">
        <v>11</v>
      </c>
      <c r="F746">
        <v>20</v>
      </c>
      <c r="G746">
        <v>14</v>
      </c>
      <c r="H746">
        <v>280</v>
      </c>
      <c r="I746" t="s">
        <v>19</v>
      </c>
      <c r="J746" t="s">
        <v>12</v>
      </c>
      <c r="K746" t="s">
        <v>13</v>
      </c>
    </row>
    <row r="747" spans="2:11" x14ac:dyDescent="0.25">
      <c r="B747">
        <v>743</v>
      </c>
      <c r="C747" s="1">
        <v>44874</v>
      </c>
      <c r="D747" t="s">
        <v>21</v>
      </c>
      <c r="E747" t="s">
        <v>11</v>
      </c>
      <c r="F747">
        <v>20</v>
      </c>
      <c r="G747">
        <v>1</v>
      </c>
      <c r="H747">
        <v>20</v>
      </c>
      <c r="I747" t="s">
        <v>15</v>
      </c>
      <c r="J747" t="s">
        <v>12</v>
      </c>
      <c r="K747" t="s">
        <v>23</v>
      </c>
    </row>
    <row r="748" spans="2:11" x14ac:dyDescent="0.25">
      <c r="B748">
        <v>744</v>
      </c>
      <c r="C748" s="1">
        <v>44737</v>
      </c>
      <c r="D748" t="s">
        <v>24</v>
      </c>
      <c r="E748" t="s">
        <v>11</v>
      </c>
      <c r="F748">
        <v>50</v>
      </c>
      <c r="G748">
        <v>10</v>
      </c>
      <c r="H748">
        <v>500</v>
      </c>
      <c r="I748" t="s">
        <v>15</v>
      </c>
      <c r="J748" t="s">
        <v>22</v>
      </c>
      <c r="K748" t="s">
        <v>23</v>
      </c>
    </row>
    <row r="749" spans="2:11" x14ac:dyDescent="0.25">
      <c r="B749">
        <v>745</v>
      </c>
      <c r="C749" s="1">
        <v>44815</v>
      </c>
      <c r="D749" t="s">
        <v>10</v>
      </c>
      <c r="E749" t="s">
        <v>11</v>
      </c>
      <c r="F749">
        <v>20</v>
      </c>
      <c r="G749">
        <v>2</v>
      </c>
      <c r="H749">
        <v>40</v>
      </c>
      <c r="I749" t="s">
        <v>19</v>
      </c>
      <c r="J749" t="s">
        <v>12</v>
      </c>
      <c r="K749" t="s">
        <v>20</v>
      </c>
    </row>
    <row r="750" spans="2:11" x14ac:dyDescent="0.25">
      <c r="B750">
        <v>746</v>
      </c>
      <c r="C750" s="1">
        <v>44778</v>
      </c>
      <c r="D750" t="s">
        <v>17</v>
      </c>
      <c r="E750" t="s">
        <v>18</v>
      </c>
      <c r="F750">
        <v>25</v>
      </c>
      <c r="G750">
        <v>5</v>
      </c>
      <c r="H750">
        <v>125</v>
      </c>
      <c r="I750" t="s">
        <v>19</v>
      </c>
      <c r="J750" t="s">
        <v>22</v>
      </c>
      <c r="K750" t="s">
        <v>26</v>
      </c>
    </row>
    <row r="751" spans="2:11" x14ac:dyDescent="0.25">
      <c r="B751">
        <v>747</v>
      </c>
      <c r="C751" s="1">
        <v>44940</v>
      </c>
      <c r="D751" t="s">
        <v>27</v>
      </c>
      <c r="E751" t="s">
        <v>18</v>
      </c>
      <c r="F751">
        <v>40</v>
      </c>
      <c r="G751">
        <v>3</v>
      </c>
      <c r="H751">
        <v>120</v>
      </c>
      <c r="I751" t="s">
        <v>15</v>
      </c>
      <c r="J751" t="s">
        <v>22</v>
      </c>
      <c r="K751" t="s">
        <v>26</v>
      </c>
    </row>
    <row r="752" spans="2:11" x14ac:dyDescent="0.25">
      <c r="B752">
        <v>748</v>
      </c>
      <c r="C752" s="1">
        <v>44824</v>
      </c>
      <c r="D752" t="s">
        <v>25</v>
      </c>
      <c r="E752" t="s">
        <v>11</v>
      </c>
      <c r="F752">
        <v>60</v>
      </c>
      <c r="G752">
        <v>14</v>
      </c>
      <c r="H752">
        <v>840</v>
      </c>
      <c r="I752" t="s">
        <v>15</v>
      </c>
      <c r="J752" t="s">
        <v>22</v>
      </c>
      <c r="K752" t="s">
        <v>13</v>
      </c>
    </row>
    <row r="753" spans="2:11" x14ac:dyDescent="0.25">
      <c r="B753">
        <v>749</v>
      </c>
      <c r="C753" s="1">
        <v>44804</v>
      </c>
      <c r="D753" t="s">
        <v>14</v>
      </c>
      <c r="E753" t="s">
        <v>11</v>
      </c>
      <c r="F753">
        <v>20</v>
      </c>
      <c r="G753">
        <v>11</v>
      </c>
      <c r="H753">
        <v>220</v>
      </c>
      <c r="I753" t="s">
        <v>15</v>
      </c>
      <c r="J753" t="s">
        <v>12</v>
      </c>
      <c r="K753" t="s">
        <v>23</v>
      </c>
    </row>
    <row r="754" spans="2:11" x14ac:dyDescent="0.25">
      <c r="B754">
        <v>750</v>
      </c>
      <c r="C754" s="1">
        <v>44958</v>
      </c>
      <c r="D754" t="s">
        <v>24</v>
      </c>
      <c r="E754" t="s">
        <v>11</v>
      </c>
      <c r="F754">
        <v>50</v>
      </c>
      <c r="G754">
        <v>1</v>
      </c>
      <c r="H754">
        <v>50</v>
      </c>
      <c r="I754" t="s">
        <v>19</v>
      </c>
      <c r="J754" t="s">
        <v>12</v>
      </c>
      <c r="K754" t="s">
        <v>20</v>
      </c>
    </row>
    <row r="755" spans="2:11" x14ac:dyDescent="0.25">
      <c r="B755">
        <v>751</v>
      </c>
      <c r="C755" s="1">
        <v>44820</v>
      </c>
      <c r="D755" t="s">
        <v>14</v>
      </c>
      <c r="E755" t="s">
        <v>11</v>
      </c>
      <c r="F755">
        <v>20</v>
      </c>
      <c r="G755">
        <v>2</v>
      </c>
      <c r="H755">
        <v>40</v>
      </c>
      <c r="I755" t="s">
        <v>15</v>
      </c>
      <c r="J755" t="s">
        <v>12</v>
      </c>
      <c r="K755" t="s">
        <v>16</v>
      </c>
    </row>
    <row r="756" spans="2:11" x14ac:dyDescent="0.25">
      <c r="B756">
        <v>752</v>
      </c>
      <c r="C756" s="1">
        <v>44716</v>
      </c>
      <c r="D756" t="s">
        <v>21</v>
      </c>
      <c r="E756" t="s">
        <v>11</v>
      </c>
      <c r="F756">
        <v>20</v>
      </c>
      <c r="G756">
        <v>2</v>
      </c>
      <c r="H756">
        <v>40</v>
      </c>
      <c r="I756" t="s">
        <v>19</v>
      </c>
      <c r="J756" t="s">
        <v>22</v>
      </c>
      <c r="K756" t="s">
        <v>23</v>
      </c>
    </row>
    <row r="757" spans="2:11" x14ac:dyDescent="0.25">
      <c r="B757">
        <v>753</v>
      </c>
      <c r="C757" s="1">
        <v>44738</v>
      </c>
      <c r="D757" t="s">
        <v>17</v>
      </c>
      <c r="E757" t="s">
        <v>18</v>
      </c>
      <c r="F757">
        <v>25</v>
      </c>
      <c r="G757">
        <v>1</v>
      </c>
      <c r="H757">
        <v>25</v>
      </c>
      <c r="I757" t="s">
        <v>15</v>
      </c>
      <c r="J757" t="s">
        <v>12</v>
      </c>
      <c r="K757" t="s">
        <v>26</v>
      </c>
    </row>
    <row r="758" spans="2:11" x14ac:dyDescent="0.25">
      <c r="B758">
        <v>754</v>
      </c>
      <c r="C758" s="1">
        <v>44924</v>
      </c>
      <c r="D758" t="s">
        <v>17</v>
      </c>
      <c r="E758" t="s">
        <v>18</v>
      </c>
      <c r="F758">
        <v>25</v>
      </c>
      <c r="G758">
        <v>14</v>
      </c>
      <c r="H758">
        <v>350</v>
      </c>
      <c r="I758" t="s">
        <v>15</v>
      </c>
      <c r="J758" t="s">
        <v>22</v>
      </c>
      <c r="K758" t="s">
        <v>20</v>
      </c>
    </row>
    <row r="759" spans="2:11" x14ac:dyDescent="0.25">
      <c r="B759">
        <v>755</v>
      </c>
      <c r="C759" s="1">
        <v>44928</v>
      </c>
      <c r="D759" t="s">
        <v>10</v>
      </c>
      <c r="E759" t="s">
        <v>11</v>
      </c>
      <c r="F759">
        <v>20</v>
      </c>
      <c r="G759">
        <v>12</v>
      </c>
      <c r="H759">
        <v>240</v>
      </c>
      <c r="I759" t="s">
        <v>15</v>
      </c>
      <c r="J759" t="s">
        <v>22</v>
      </c>
      <c r="K759" t="s">
        <v>13</v>
      </c>
    </row>
    <row r="760" spans="2:11" x14ac:dyDescent="0.25">
      <c r="B760">
        <v>756</v>
      </c>
      <c r="C760" s="1">
        <v>44855</v>
      </c>
      <c r="D760" t="s">
        <v>17</v>
      </c>
      <c r="E760" t="s">
        <v>18</v>
      </c>
      <c r="F760">
        <v>25</v>
      </c>
      <c r="G760">
        <v>10</v>
      </c>
      <c r="H760">
        <v>250</v>
      </c>
      <c r="I760" t="s">
        <v>19</v>
      </c>
      <c r="J760" t="s">
        <v>22</v>
      </c>
      <c r="K760" t="s">
        <v>23</v>
      </c>
    </row>
    <row r="761" spans="2:11" x14ac:dyDescent="0.25">
      <c r="B761">
        <v>757</v>
      </c>
      <c r="C761" s="1">
        <v>44920</v>
      </c>
      <c r="D761" t="s">
        <v>17</v>
      </c>
      <c r="E761" t="s">
        <v>18</v>
      </c>
      <c r="F761">
        <v>25</v>
      </c>
      <c r="G761">
        <v>11</v>
      </c>
      <c r="H761">
        <v>275</v>
      </c>
      <c r="I761" t="s">
        <v>19</v>
      </c>
      <c r="J761" t="s">
        <v>12</v>
      </c>
      <c r="K761" t="s">
        <v>23</v>
      </c>
    </row>
    <row r="762" spans="2:11" x14ac:dyDescent="0.25">
      <c r="B762">
        <v>758</v>
      </c>
      <c r="C762" s="1">
        <v>44829</v>
      </c>
      <c r="D762" t="s">
        <v>14</v>
      </c>
      <c r="E762" t="s">
        <v>11</v>
      </c>
      <c r="F762">
        <v>20</v>
      </c>
      <c r="G762">
        <v>3</v>
      </c>
      <c r="H762">
        <v>60</v>
      </c>
      <c r="I762" t="s">
        <v>15</v>
      </c>
      <c r="J762" t="s">
        <v>22</v>
      </c>
      <c r="K762" t="s">
        <v>20</v>
      </c>
    </row>
    <row r="763" spans="2:11" x14ac:dyDescent="0.25">
      <c r="B763">
        <v>759</v>
      </c>
      <c r="C763" s="1">
        <v>44920</v>
      </c>
      <c r="D763" t="s">
        <v>17</v>
      </c>
      <c r="E763" t="s">
        <v>18</v>
      </c>
      <c r="F763">
        <v>25</v>
      </c>
      <c r="G763">
        <v>13</v>
      </c>
      <c r="H763">
        <v>325</v>
      </c>
      <c r="I763" t="s">
        <v>19</v>
      </c>
      <c r="J763" t="s">
        <v>12</v>
      </c>
      <c r="K763" t="s">
        <v>26</v>
      </c>
    </row>
    <row r="764" spans="2:11" x14ac:dyDescent="0.25">
      <c r="B764">
        <v>760</v>
      </c>
      <c r="C764" s="1">
        <v>44879</v>
      </c>
      <c r="D764" t="s">
        <v>17</v>
      </c>
      <c r="E764" t="s">
        <v>18</v>
      </c>
      <c r="F764">
        <v>25</v>
      </c>
      <c r="G764">
        <v>1</v>
      </c>
      <c r="H764">
        <v>25</v>
      </c>
      <c r="I764" t="s">
        <v>19</v>
      </c>
      <c r="J764" t="s">
        <v>22</v>
      </c>
      <c r="K764" t="s">
        <v>20</v>
      </c>
    </row>
    <row r="765" spans="2:11" x14ac:dyDescent="0.25">
      <c r="B765">
        <v>761</v>
      </c>
      <c r="C765" s="1">
        <v>44877</v>
      </c>
      <c r="D765" t="s">
        <v>25</v>
      </c>
      <c r="E765" t="s">
        <v>11</v>
      </c>
      <c r="F765">
        <v>60</v>
      </c>
      <c r="G765">
        <v>3</v>
      </c>
      <c r="H765">
        <v>180</v>
      </c>
      <c r="J765" t="s">
        <v>22</v>
      </c>
      <c r="K765" t="s">
        <v>26</v>
      </c>
    </row>
    <row r="766" spans="2:11" x14ac:dyDescent="0.25">
      <c r="B766">
        <v>762</v>
      </c>
      <c r="C766" s="1">
        <v>44660</v>
      </c>
      <c r="D766" t="s">
        <v>14</v>
      </c>
      <c r="E766" t="s">
        <v>11</v>
      </c>
      <c r="F766">
        <v>20</v>
      </c>
      <c r="G766">
        <v>12</v>
      </c>
      <c r="H766">
        <v>240</v>
      </c>
      <c r="I766" t="s">
        <v>19</v>
      </c>
      <c r="J766" t="s">
        <v>22</v>
      </c>
      <c r="K766" t="s">
        <v>26</v>
      </c>
    </row>
    <row r="767" spans="2:11" x14ac:dyDescent="0.25">
      <c r="B767">
        <v>763</v>
      </c>
      <c r="C767" s="1">
        <v>44746</v>
      </c>
      <c r="D767" t="s">
        <v>14</v>
      </c>
      <c r="E767" t="s">
        <v>11</v>
      </c>
      <c r="F767">
        <v>20</v>
      </c>
      <c r="G767">
        <v>14</v>
      </c>
      <c r="H767">
        <v>280</v>
      </c>
      <c r="J767" t="s">
        <v>22</v>
      </c>
      <c r="K767" t="s">
        <v>13</v>
      </c>
    </row>
    <row r="768" spans="2:11" x14ac:dyDescent="0.25">
      <c r="B768">
        <v>764</v>
      </c>
      <c r="C768" s="1">
        <v>44971</v>
      </c>
      <c r="D768" t="s">
        <v>25</v>
      </c>
      <c r="E768" t="s">
        <v>11</v>
      </c>
      <c r="F768">
        <v>60</v>
      </c>
      <c r="G768">
        <v>7</v>
      </c>
      <c r="H768">
        <v>420</v>
      </c>
      <c r="I768" t="s">
        <v>15</v>
      </c>
      <c r="J768" t="s">
        <v>22</v>
      </c>
      <c r="K768" t="s">
        <v>13</v>
      </c>
    </row>
    <row r="769" spans="2:11" x14ac:dyDescent="0.25">
      <c r="B769">
        <v>765</v>
      </c>
      <c r="C769" s="1">
        <v>44727</v>
      </c>
      <c r="D769" t="s">
        <v>25</v>
      </c>
      <c r="E769" t="s">
        <v>11</v>
      </c>
      <c r="F769">
        <v>60</v>
      </c>
      <c r="G769">
        <v>13</v>
      </c>
      <c r="H769">
        <v>780</v>
      </c>
      <c r="I769" t="s">
        <v>15</v>
      </c>
      <c r="J769" t="s">
        <v>12</v>
      </c>
      <c r="K769" t="s">
        <v>13</v>
      </c>
    </row>
    <row r="770" spans="2:11" x14ac:dyDescent="0.25">
      <c r="B770">
        <v>766</v>
      </c>
      <c r="C770" s="1">
        <v>44731</v>
      </c>
      <c r="D770" t="s">
        <v>25</v>
      </c>
      <c r="E770" t="s">
        <v>11</v>
      </c>
      <c r="F770">
        <v>60</v>
      </c>
      <c r="G770">
        <v>10</v>
      </c>
      <c r="H770">
        <v>600</v>
      </c>
      <c r="I770" t="s">
        <v>19</v>
      </c>
      <c r="J770" t="s">
        <v>22</v>
      </c>
      <c r="K770" t="s">
        <v>23</v>
      </c>
    </row>
    <row r="771" spans="2:11" x14ac:dyDescent="0.25">
      <c r="B771">
        <v>767</v>
      </c>
      <c r="C771" s="1">
        <v>44983</v>
      </c>
      <c r="D771" t="s">
        <v>24</v>
      </c>
      <c r="E771" t="s">
        <v>11</v>
      </c>
      <c r="F771">
        <v>50</v>
      </c>
      <c r="G771">
        <v>8</v>
      </c>
      <c r="H771">
        <v>400</v>
      </c>
      <c r="I771" t="s">
        <v>15</v>
      </c>
      <c r="J771" t="s">
        <v>22</v>
      </c>
      <c r="K771" t="s">
        <v>16</v>
      </c>
    </row>
    <row r="772" spans="2:11" x14ac:dyDescent="0.25">
      <c r="B772">
        <v>768</v>
      </c>
      <c r="C772" s="1">
        <v>44938</v>
      </c>
      <c r="D772" t="s">
        <v>25</v>
      </c>
      <c r="E772" t="s">
        <v>11</v>
      </c>
      <c r="F772">
        <v>60</v>
      </c>
      <c r="G772">
        <v>14</v>
      </c>
      <c r="H772">
        <v>840</v>
      </c>
      <c r="I772" t="s">
        <v>15</v>
      </c>
      <c r="J772" t="s">
        <v>12</v>
      </c>
      <c r="K772" t="s">
        <v>16</v>
      </c>
    </row>
    <row r="773" spans="2:11" x14ac:dyDescent="0.25">
      <c r="B773">
        <v>769</v>
      </c>
      <c r="C773" s="1">
        <v>44719</v>
      </c>
      <c r="D773" t="s">
        <v>24</v>
      </c>
      <c r="E773" t="s">
        <v>11</v>
      </c>
      <c r="F773">
        <v>50</v>
      </c>
      <c r="G773">
        <v>8</v>
      </c>
      <c r="H773">
        <v>400</v>
      </c>
      <c r="I773" t="s">
        <v>15</v>
      </c>
      <c r="J773" t="s">
        <v>12</v>
      </c>
      <c r="K773" t="s">
        <v>23</v>
      </c>
    </row>
    <row r="774" spans="2:11" x14ac:dyDescent="0.25">
      <c r="B774">
        <v>770</v>
      </c>
      <c r="C774" s="1">
        <v>44979</v>
      </c>
      <c r="D774" t="s">
        <v>10</v>
      </c>
      <c r="E774" t="s">
        <v>11</v>
      </c>
      <c r="F774">
        <v>20</v>
      </c>
      <c r="G774">
        <v>8</v>
      </c>
      <c r="H774">
        <v>160</v>
      </c>
      <c r="I774" t="s">
        <v>15</v>
      </c>
      <c r="J774" t="s">
        <v>22</v>
      </c>
      <c r="K774" t="s">
        <v>23</v>
      </c>
    </row>
    <row r="775" spans="2:11" x14ac:dyDescent="0.25">
      <c r="B775">
        <v>771</v>
      </c>
      <c r="C775" s="1">
        <v>44788</v>
      </c>
      <c r="D775" t="s">
        <v>21</v>
      </c>
      <c r="E775" t="s">
        <v>11</v>
      </c>
      <c r="F775">
        <v>20</v>
      </c>
      <c r="G775">
        <v>5</v>
      </c>
      <c r="H775">
        <v>100</v>
      </c>
      <c r="I775" t="s">
        <v>19</v>
      </c>
      <c r="J775" t="s">
        <v>22</v>
      </c>
      <c r="K775" t="s">
        <v>26</v>
      </c>
    </row>
    <row r="776" spans="2:11" x14ac:dyDescent="0.25">
      <c r="B776">
        <v>772</v>
      </c>
      <c r="C776" s="1">
        <v>45005</v>
      </c>
      <c r="D776" t="s">
        <v>27</v>
      </c>
      <c r="E776" t="s">
        <v>18</v>
      </c>
      <c r="F776">
        <v>40</v>
      </c>
      <c r="G776">
        <v>9</v>
      </c>
      <c r="H776">
        <v>360</v>
      </c>
      <c r="I776" t="s">
        <v>15</v>
      </c>
      <c r="J776" t="s">
        <v>12</v>
      </c>
      <c r="K776" t="s">
        <v>20</v>
      </c>
    </row>
    <row r="777" spans="2:11" x14ac:dyDescent="0.25">
      <c r="B777">
        <v>773</v>
      </c>
      <c r="C777" s="1">
        <v>44787</v>
      </c>
      <c r="D777" t="s">
        <v>27</v>
      </c>
      <c r="E777" t="s">
        <v>18</v>
      </c>
      <c r="F777">
        <v>40</v>
      </c>
      <c r="G777">
        <v>7</v>
      </c>
      <c r="H777">
        <v>280</v>
      </c>
      <c r="I777" t="s">
        <v>19</v>
      </c>
      <c r="J777" t="s">
        <v>12</v>
      </c>
      <c r="K777" t="s">
        <v>16</v>
      </c>
    </row>
    <row r="778" spans="2:11" x14ac:dyDescent="0.25">
      <c r="B778">
        <v>774</v>
      </c>
      <c r="C778" s="1">
        <v>45000</v>
      </c>
      <c r="D778" t="s">
        <v>14</v>
      </c>
      <c r="E778" t="s">
        <v>11</v>
      </c>
      <c r="F778">
        <v>20</v>
      </c>
      <c r="G778">
        <v>1</v>
      </c>
      <c r="H778">
        <v>20</v>
      </c>
      <c r="I778" t="s">
        <v>19</v>
      </c>
      <c r="J778" t="s">
        <v>22</v>
      </c>
      <c r="K778" t="s">
        <v>13</v>
      </c>
    </row>
    <row r="779" spans="2:11" x14ac:dyDescent="0.25">
      <c r="B779">
        <v>775</v>
      </c>
      <c r="C779" s="1">
        <v>45012</v>
      </c>
      <c r="D779" t="s">
        <v>25</v>
      </c>
      <c r="E779" t="s">
        <v>11</v>
      </c>
      <c r="F779">
        <v>60</v>
      </c>
      <c r="G779">
        <v>6</v>
      </c>
      <c r="H779">
        <v>360</v>
      </c>
      <c r="I779" t="s">
        <v>15</v>
      </c>
      <c r="J779" t="s">
        <v>12</v>
      </c>
      <c r="K779" t="s">
        <v>13</v>
      </c>
    </row>
    <row r="780" spans="2:11" x14ac:dyDescent="0.25">
      <c r="B780">
        <v>776</v>
      </c>
      <c r="C780" s="1">
        <v>44964</v>
      </c>
      <c r="D780" t="s">
        <v>24</v>
      </c>
      <c r="E780" t="s">
        <v>11</v>
      </c>
      <c r="F780">
        <v>50</v>
      </c>
      <c r="G780">
        <v>10</v>
      </c>
      <c r="H780">
        <v>500</v>
      </c>
      <c r="I780" t="s">
        <v>15</v>
      </c>
      <c r="J780" t="s">
        <v>12</v>
      </c>
      <c r="K780" t="s">
        <v>26</v>
      </c>
    </row>
    <row r="781" spans="2:11" x14ac:dyDescent="0.25">
      <c r="B781">
        <v>777</v>
      </c>
      <c r="C781" s="1">
        <v>44857</v>
      </c>
      <c r="D781" t="s">
        <v>21</v>
      </c>
      <c r="E781" t="s">
        <v>11</v>
      </c>
      <c r="F781">
        <v>20</v>
      </c>
      <c r="G781">
        <v>13</v>
      </c>
      <c r="H781">
        <v>260</v>
      </c>
      <c r="I781" t="s">
        <v>15</v>
      </c>
      <c r="J781" t="s">
        <v>12</v>
      </c>
      <c r="K781" t="s">
        <v>23</v>
      </c>
    </row>
    <row r="782" spans="2:11" x14ac:dyDescent="0.25">
      <c r="B782">
        <v>778</v>
      </c>
      <c r="C782" s="1">
        <v>44723</v>
      </c>
      <c r="D782" t="s">
        <v>24</v>
      </c>
      <c r="E782" t="s">
        <v>11</v>
      </c>
      <c r="F782">
        <v>50</v>
      </c>
      <c r="G782">
        <v>13</v>
      </c>
      <c r="H782">
        <v>650</v>
      </c>
      <c r="I782" t="s">
        <v>15</v>
      </c>
      <c r="J782" t="s">
        <v>12</v>
      </c>
      <c r="K782" t="s">
        <v>20</v>
      </c>
    </row>
    <row r="783" spans="2:11" x14ac:dyDescent="0.25">
      <c r="B783">
        <v>779</v>
      </c>
      <c r="C783" s="1">
        <v>44942</v>
      </c>
      <c r="D783" t="s">
        <v>25</v>
      </c>
      <c r="E783" t="s">
        <v>11</v>
      </c>
      <c r="F783">
        <v>60</v>
      </c>
      <c r="G783">
        <v>13</v>
      </c>
      <c r="H783">
        <v>780</v>
      </c>
      <c r="J783" t="s">
        <v>12</v>
      </c>
      <c r="K783" t="s">
        <v>13</v>
      </c>
    </row>
    <row r="784" spans="2:11" x14ac:dyDescent="0.25">
      <c r="B784">
        <v>780</v>
      </c>
      <c r="C784" s="1">
        <v>44892</v>
      </c>
      <c r="D784" t="s">
        <v>17</v>
      </c>
      <c r="E784" t="s">
        <v>18</v>
      </c>
      <c r="F784">
        <v>25</v>
      </c>
      <c r="G784">
        <v>13</v>
      </c>
      <c r="H784">
        <v>325</v>
      </c>
      <c r="I784" t="s">
        <v>19</v>
      </c>
      <c r="J784" t="s">
        <v>22</v>
      </c>
      <c r="K784" t="s">
        <v>16</v>
      </c>
    </row>
    <row r="785" spans="2:11" x14ac:dyDescent="0.25">
      <c r="B785">
        <v>781</v>
      </c>
      <c r="C785" s="1">
        <v>44708</v>
      </c>
      <c r="D785" t="s">
        <v>10</v>
      </c>
      <c r="E785" t="s">
        <v>11</v>
      </c>
      <c r="F785">
        <v>20</v>
      </c>
      <c r="G785">
        <v>10</v>
      </c>
      <c r="H785">
        <v>200</v>
      </c>
      <c r="I785" t="s">
        <v>19</v>
      </c>
      <c r="J785" t="s">
        <v>12</v>
      </c>
      <c r="K785" t="s">
        <v>26</v>
      </c>
    </row>
    <row r="786" spans="2:11" x14ac:dyDescent="0.25">
      <c r="B786">
        <v>782</v>
      </c>
      <c r="C786" s="1">
        <v>44911</v>
      </c>
      <c r="D786" t="s">
        <v>10</v>
      </c>
      <c r="E786" t="s">
        <v>11</v>
      </c>
      <c r="F786">
        <v>20</v>
      </c>
      <c r="G786">
        <v>5</v>
      </c>
      <c r="H786">
        <v>100</v>
      </c>
      <c r="I786" t="s">
        <v>19</v>
      </c>
      <c r="J786" t="s">
        <v>12</v>
      </c>
      <c r="K786" t="s">
        <v>13</v>
      </c>
    </row>
    <row r="787" spans="2:11" x14ac:dyDescent="0.25">
      <c r="B787">
        <v>783</v>
      </c>
      <c r="C787" s="1">
        <v>44680</v>
      </c>
      <c r="D787" t="s">
        <v>10</v>
      </c>
      <c r="E787" t="s">
        <v>11</v>
      </c>
      <c r="F787">
        <v>20</v>
      </c>
      <c r="G787">
        <v>8</v>
      </c>
      <c r="H787">
        <v>160</v>
      </c>
      <c r="I787" t="s">
        <v>15</v>
      </c>
      <c r="J787" t="s">
        <v>12</v>
      </c>
      <c r="K787" t="s">
        <v>23</v>
      </c>
    </row>
    <row r="788" spans="2:11" x14ac:dyDescent="0.25">
      <c r="B788">
        <v>784</v>
      </c>
      <c r="C788" s="1">
        <v>44751</v>
      </c>
      <c r="D788" t="s">
        <v>14</v>
      </c>
      <c r="E788" t="s">
        <v>11</v>
      </c>
      <c r="F788">
        <v>20</v>
      </c>
      <c r="G788">
        <v>8</v>
      </c>
      <c r="H788">
        <v>160</v>
      </c>
      <c r="I788" t="s">
        <v>15</v>
      </c>
      <c r="J788" t="s">
        <v>22</v>
      </c>
      <c r="K788" t="s">
        <v>23</v>
      </c>
    </row>
    <row r="789" spans="2:11" x14ac:dyDescent="0.25">
      <c r="B789">
        <v>785</v>
      </c>
      <c r="C789" s="1">
        <v>44902</v>
      </c>
      <c r="D789" t="s">
        <v>10</v>
      </c>
      <c r="E789" t="s">
        <v>11</v>
      </c>
      <c r="F789">
        <v>20</v>
      </c>
      <c r="G789">
        <v>2</v>
      </c>
      <c r="H789">
        <v>40</v>
      </c>
      <c r="I789" t="s">
        <v>19</v>
      </c>
      <c r="J789" t="s">
        <v>12</v>
      </c>
      <c r="K789" t="s">
        <v>16</v>
      </c>
    </row>
    <row r="790" spans="2:11" x14ac:dyDescent="0.25">
      <c r="B790">
        <v>786</v>
      </c>
      <c r="C790" s="1">
        <v>44998</v>
      </c>
      <c r="D790" t="s">
        <v>25</v>
      </c>
      <c r="E790" t="s">
        <v>11</v>
      </c>
      <c r="F790">
        <v>60</v>
      </c>
      <c r="G790">
        <v>14</v>
      </c>
      <c r="H790">
        <v>840</v>
      </c>
      <c r="I790" t="s">
        <v>19</v>
      </c>
      <c r="J790" t="s">
        <v>22</v>
      </c>
      <c r="K790" t="s">
        <v>13</v>
      </c>
    </row>
    <row r="791" spans="2:11" x14ac:dyDescent="0.25">
      <c r="B791">
        <v>787</v>
      </c>
      <c r="C791" s="1">
        <v>45010</v>
      </c>
      <c r="D791" t="s">
        <v>10</v>
      </c>
      <c r="E791" t="s">
        <v>11</v>
      </c>
      <c r="F791">
        <v>20</v>
      </c>
      <c r="G791">
        <v>2</v>
      </c>
      <c r="H791">
        <v>40</v>
      </c>
      <c r="I791" t="s">
        <v>15</v>
      </c>
      <c r="J791" t="s">
        <v>22</v>
      </c>
      <c r="K791" t="s">
        <v>16</v>
      </c>
    </row>
    <row r="792" spans="2:11" x14ac:dyDescent="0.25">
      <c r="B792">
        <v>788</v>
      </c>
      <c r="C792" s="1">
        <v>44786</v>
      </c>
      <c r="D792" t="s">
        <v>17</v>
      </c>
      <c r="E792" t="s">
        <v>18</v>
      </c>
      <c r="F792">
        <v>25</v>
      </c>
      <c r="G792">
        <v>7</v>
      </c>
      <c r="H792">
        <v>175</v>
      </c>
      <c r="I792" t="s">
        <v>19</v>
      </c>
      <c r="J792" t="s">
        <v>12</v>
      </c>
      <c r="K792" t="s">
        <v>16</v>
      </c>
    </row>
    <row r="793" spans="2:11" x14ac:dyDescent="0.25">
      <c r="B793">
        <v>789</v>
      </c>
      <c r="C793" s="1">
        <v>44776</v>
      </c>
      <c r="D793" t="s">
        <v>17</v>
      </c>
      <c r="E793" t="s">
        <v>18</v>
      </c>
      <c r="F793">
        <v>25</v>
      </c>
      <c r="G793">
        <v>7</v>
      </c>
      <c r="H793">
        <v>175</v>
      </c>
      <c r="I793" t="s">
        <v>15</v>
      </c>
      <c r="J793" t="s">
        <v>12</v>
      </c>
      <c r="K793" t="s">
        <v>23</v>
      </c>
    </row>
    <row r="794" spans="2:11" x14ac:dyDescent="0.25">
      <c r="B794">
        <v>790</v>
      </c>
      <c r="C794" s="1">
        <v>44762</v>
      </c>
      <c r="D794" t="s">
        <v>21</v>
      </c>
      <c r="E794" t="s">
        <v>11</v>
      </c>
      <c r="F794">
        <v>20</v>
      </c>
      <c r="G794">
        <v>3</v>
      </c>
      <c r="H794">
        <v>60</v>
      </c>
      <c r="I794" t="s">
        <v>15</v>
      </c>
      <c r="J794" t="s">
        <v>22</v>
      </c>
      <c r="K794" t="s">
        <v>20</v>
      </c>
    </row>
    <row r="795" spans="2:11" x14ac:dyDescent="0.25">
      <c r="B795">
        <v>791</v>
      </c>
      <c r="C795" s="1">
        <v>44658</v>
      </c>
      <c r="D795" t="s">
        <v>14</v>
      </c>
      <c r="E795" t="s">
        <v>11</v>
      </c>
      <c r="F795">
        <v>20</v>
      </c>
      <c r="G795">
        <v>3</v>
      </c>
      <c r="H795">
        <v>60</v>
      </c>
      <c r="J795" t="s">
        <v>12</v>
      </c>
      <c r="K795" t="s">
        <v>26</v>
      </c>
    </row>
    <row r="796" spans="2:11" x14ac:dyDescent="0.25">
      <c r="B796">
        <v>792</v>
      </c>
      <c r="C796" s="1">
        <v>44982</v>
      </c>
      <c r="D796" t="s">
        <v>14</v>
      </c>
      <c r="E796" t="s">
        <v>11</v>
      </c>
      <c r="F796">
        <v>20</v>
      </c>
      <c r="G796">
        <v>2</v>
      </c>
      <c r="H796">
        <v>40</v>
      </c>
      <c r="I796" t="s">
        <v>15</v>
      </c>
      <c r="J796" t="s">
        <v>22</v>
      </c>
      <c r="K796" t="s">
        <v>23</v>
      </c>
    </row>
    <row r="797" spans="2:11" x14ac:dyDescent="0.25">
      <c r="B797">
        <v>793</v>
      </c>
      <c r="C797" s="1">
        <v>44803</v>
      </c>
      <c r="D797" t="s">
        <v>25</v>
      </c>
      <c r="E797" t="s">
        <v>11</v>
      </c>
      <c r="F797">
        <v>60</v>
      </c>
      <c r="G797">
        <v>6</v>
      </c>
      <c r="H797">
        <v>360</v>
      </c>
      <c r="I797" t="s">
        <v>15</v>
      </c>
      <c r="J797" t="s">
        <v>22</v>
      </c>
      <c r="K797" t="s">
        <v>13</v>
      </c>
    </row>
    <row r="798" spans="2:11" x14ac:dyDescent="0.25">
      <c r="B798">
        <v>794</v>
      </c>
      <c r="C798" s="1">
        <v>44836</v>
      </c>
      <c r="D798" t="s">
        <v>17</v>
      </c>
      <c r="E798" t="s">
        <v>18</v>
      </c>
      <c r="F798">
        <v>25</v>
      </c>
      <c r="G798">
        <v>5</v>
      </c>
      <c r="H798">
        <v>125</v>
      </c>
      <c r="I798" t="s">
        <v>19</v>
      </c>
      <c r="J798" t="s">
        <v>12</v>
      </c>
      <c r="K798" t="s">
        <v>16</v>
      </c>
    </row>
    <row r="799" spans="2:11" x14ac:dyDescent="0.25">
      <c r="B799">
        <v>795</v>
      </c>
      <c r="C799" s="1">
        <v>44936</v>
      </c>
      <c r="D799" t="s">
        <v>14</v>
      </c>
      <c r="E799" t="s">
        <v>11</v>
      </c>
      <c r="F799">
        <v>20</v>
      </c>
      <c r="G799">
        <v>9</v>
      </c>
      <c r="H799">
        <v>180</v>
      </c>
      <c r="I799" t="s">
        <v>15</v>
      </c>
      <c r="J799" t="s">
        <v>12</v>
      </c>
      <c r="K799" t="s">
        <v>20</v>
      </c>
    </row>
    <row r="800" spans="2:11" x14ac:dyDescent="0.25">
      <c r="B800">
        <v>796</v>
      </c>
      <c r="C800" s="1">
        <v>44737</v>
      </c>
      <c r="D800" t="s">
        <v>17</v>
      </c>
      <c r="E800" t="s">
        <v>18</v>
      </c>
      <c r="F800">
        <v>25</v>
      </c>
      <c r="G800">
        <v>14</v>
      </c>
      <c r="H800">
        <v>350</v>
      </c>
      <c r="I800" t="s">
        <v>19</v>
      </c>
      <c r="J800" t="s">
        <v>12</v>
      </c>
      <c r="K800" t="s">
        <v>13</v>
      </c>
    </row>
    <row r="801" spans="2:11" x14ac:dyDescent="0.25">
      <c r="B801">
        <v>797</v>
      </c>
      <c r="C801" s="1">
        <v>44891</v>
      </c>
      <c r="D801" t="s">
        <v>27</v>
      </c>
      <c r="E801" t="s">
        <v>18</v>
      </c>
      <c r="F801">
        <v>40</v>
      </c>
      <c r="G801">
        <v>11</v>
      </c>
      <c r="H801">
        <v>440</v>
      </c>
      <c r="I801" t="s">
        <v>15</v>
      </c>
      <c r="J801" t="s">
        <v>12</v>
      </c>
      <c r="K801" t="s">
        <v>13</v>
      </c>
    </row>
    <row r="802" spans="2:11" x14ac:dyDescent="0.25">
      <c r="B802">
        <v>798</v>
      </c>
      <c r="C802" s="1">
        <v>44703</v>
      </c>
      <c r="D802" t="s">
        <v>24</v>
      </c>
      <c r="E802" t="s">
        <v>11</v>
      </c>
      <c r="F802">
        <v>50</v>
      </c>
      <c r="G802">
        <v>12</v>
      </c>
      <c r="H802">
        <v>600</v>
      </c>
      <c r="J802" t="s">
        <v>12</v>
      </c>
      <c r="K802" t="s">
        <v>13</v>
      </c>
    </row>
    <row r="803" spans="2:11" x14ac:dyDescent="0.25">
      <c r="B803">
        <v>799</v>
      </c>
      <c r="C803" s="1">
        <v>44937</v>
      </c>
      <c r="D803" t="s">
        <v>21</v>
      </c>
      <c r="E803" t="s">
        <v>11</v>
      </c>
      <c r="F803">
        <v>20</v>
      </c>
      <c r="G803">
        <v>1</v>
      </c>
      <c r="H803">
        <v>20</v>
      </c>
      <c r="I803" t="s">
        <v>19</v>
      </c>
      <c r="J803" t="s">
        <v>22</v>
      </c>
      <c r="K803" t="s">
        <v>13</v>
      </c>
    </row>
    <row r="804" spans="2:11" x14ac:dyDescent="0.25">
      <c r="B804">
        <v>800</v>
      </c>
      <c r="C804" s="1">
        <v>44871</v>
      </c>
      <c r="D804" t="s">
        <v>27</v>
      </c>
      <c r="E804" t="s">
        <v>18</v>
      </c>
      <c r="F804">
        <v>40</v>
      </c>
      <c r="G804">
        <v>14</v>
      </c>
      <c r="H804">
        <v>560</v>
      </c>
      <c r="I804" t="s">
        <v>15</v>
      </c>
      <c r="J804" t="s">
        <v>12</v>
      </c>
      <c r="K804" t="s">
        <v>13</v>
      </c>
    </row>
    <row r="805" spans="2:11" x14ac:dyDescent="0.25">
      <c r="B805">
        <v>801</v>
      </c>
      <c r="C805" s="1">
        <v>44679</v>
      </c>
      <c r="D805" t="s">
        <v>10</v>
      </c>
      <c r="E805" t="s">
        <v>11</v>
      </c>
      <c r="F805">
        <v>20</v>
      </c>
      <c r="G805">
        <v>7</v>
      </c>
      <c r="H805">
        <v>140</v>
      </c>
      <c r="I805" t="s">
        <v>15</v>
      </c>
      <c r="J805" t="s">
        <v>22</v>
      </c>
      <c r="K805" t="s">
        <v>20</v>
      </c>
    </row>
    <row r="806" spans="2:11" x14ac:dyDescent="0.25">
      <c r="B806">
        <v>802</v>
      </c>
      <c r="C806" s="1">
        <v>44949</v>
      </c>
      <c r="D806" t="s">
        <v>25</v>
      </c>
      <c r="E806" t="s">
        <v>11</v>
      </c>
      <c r="F806">
        <v>60</v>
      </c>
      <c r="G806">
        <v>7</v>
      </c>
      <c r="H806">
        <v>420</v>
      </c>
      <c r="I806" t="s">
        <v>19</v>
      </c>
      <c r="J806" t="s">
        <v>22</v>
      </c>
      <c r="K806" t="s">
        <v>16</v>
      </c>
    </row>
    <row r="807" spans="2:11" x14ac:dyDescent="0.25">
      <c r="B807">
        <v>803</v>
      </c>
      <c r="C807" s="1">
        <v>44800</v>
      </c>
      <c r="D807" t="s">
        <v>14</v>
      </c>
      <c r="E807" t="s">
        <v>11</v>
      </c>
      <c r="F807">
        <v>20</v>
      </c>
      <c r="G807">
        <v>5</v>
      </c>
      <c r="H807">
        <v>100</v>
      </c>
      <c r="J807" t="s">
        <v>12</v>
      </c>
      <c r="K807" t="s">
        <v>13</v>
      </c>
    </row>
    <row r="808" spans="2:11" x14ac:dyDescent="0.25">
      <c r="B808">
        <v>804</v>
      </c>
      <c r="C808" s="1">
        <v>44845</v>
      </c>
      <c r="D808" t="s">
        <v>27</v>
      </c>
      <c r="E808" t="s">
        <v>18</v>
      </c>
      <c r="F808">
        <v>40</v>
      </c>
      <c r="G808">
        <v>12</v>
      </c>
      <c r="H808">
        <v>480</v>
      </c>
      <c r="I808" t="s">
        <v>19</v>
      </c>
      <c r="J808" t="s">
        <v>22</v>
      </c>
      <c r="K808" t="s">
        <v>13</v>
      </c>
    </row>
    <row r="809" spans="2:11" x14ac:dyDescent="0.25">
      <c r="B809">
        <v>805</v>
      </c>
      <c r="C809" s="1">
        <v>44689</v>
      </c>
      <c r="D809" t="s">
        <v>17</v>
      </c>
      <c r="E809" t="s">
        <v>18</v>
      </c>
      <c r="F809">
        <v>25</v>
      </c>
      <c r="G809">
        <v>1</v>
      </c>
      <c r="H809">
        <v>25</v>
      </c>
      <c r="I809" t="s">
        <v>19</v>
      </c>
      <c r="J809" t="s">
        <v>12</v>
      </c>
      <c r="K809" t="s">
        <v>16</v>
      </c>
    </row>
    <row r="810" spans="2:11" x14ac:dyDescent="0.25">
      <c r="B810">
        <v>806</v>
      </c>
      <c r="C810" s="1">
        <v>44704</v>
      </c>
      <c r="D810" t="s">
        <v>14</v>
      </c>
      <c r="E810" t="s">
        <v>11</v>
      </c>
      <c r="F810">
        <v>20</v>
      </c>
      <c r="G810">
        <v>3</v>
      </c>
      <c r="H810">
        <v>60</v>
      </c>
      <c r="I810" t="s">
        <v>19</v>
      </c>
      <c r="J810" t="s">
        <v>12</v>
      </c>
      <c r="K810" t="s">
        <v>20</v>
      </c>
    </row>
    <row r="811" spans="2:11" x14ac:dyDescent="0.25">
      <c r="B811">
        <v>807</v>
      </c>
      <c r="C811" s="1">
        <v>44725</v>
      </c>
      <c r="D811" t="s">
        <v>24</v>
      </c>
      <c r="E811" t="s">
        <v>11</v>
      </c>
      <c r="F811">
        <v>50</v>
      </c>
      <c r="G811">
        <v>1</v>
      </c>
      <c r="H811">
        <v>50</v>
      </c>
      <c r="I811" t="s">
        <v>19</v>
      </c>
      <c r="J811" t="s">
        <v>22</v>
      </c>
      <c r="K811" t="s">
        <v>26</v>
      </c>
    </row>
    <row r="812" spans="2:11" x14ac:dyDescent="0.25">
      <c r="B812">
        <v>808</v>
      </c>
      <c r="C812" s="1">
        <v>44825</v>
      </c>
      <c r="D812" t="s">
        <v>21</v>
      </c>
      <c r="E812" t="s">
        <v>11</v>
      </c>
      <c r="F812">
        <v>20</v>
      </c>
      <c r="G812">
        <v>1</v>
      </c>
      <c r="H812">
        <v>20</v>
      </c>
      <c r="I812" t="s">
        <v>19</v>
      </c>
      <c r="J812" t="s">
        <v>12</v>
      </c>
      <c r="K812" t="s">
        <v>23</v>
      </c>
    </row>
    <row r="813" spans="2:11" x14ac:dyDescent="0.25">
      <c r="B813">
        <v>809</v>
      </c>
      <c r="C813" s="1">
        <v>44907</v>
      </c>
      <c r="D813" t="s">
        <v>21</v>
      </c>
      <c r="E813" t="s">
        <v>11</v>
      </c>
      <c r="F813">
        <v>20</v>
      </c>
      <c r="G813">
        <v>10</v>
      </c>
      <c r="H813">
        <v>200</v>
      </c>
      <c r="I813" t="s">
        <v>19</v>
      </c>
      <c r="J813" t="s">
        <v>12</v>
      </c>
      <c r="K813" t="s">
        <v>20</v>
      </c>
    </row>
    <row r="814" spans="2:11" x14ac:dyDescent="0.25">
      <c r="B814">
        <v>810</v>
      </c>
      <c r="C814" s="1">
        <v>44922</v>
      </c>
      <c r="D814" t="s">
        <v>14</v>
      </c>
      <c r="E814" t="s">
        <v>11</v>
      </c>
      <c r="F814">
        <v>20</v>
      </c>
      <c r="G814">
        <v>3</v>
      </c>
      <c r="H814">
        <v>60</v>
      </c>
      <c r="I814" t="s">
        <v>19</v>
      </c>
      <c r="J814" t="s">
        <v>12</v>
      </c>
      <c r="K814" t="s">
        <v>23</v>
      </c>
    </row>
    <row r="815" spans="2:11" x14ac:dyDescent="0.25">
      <c r="B815">
        <v>811</v>
      </c>
      <c r="C815" s="1">
        <v>44987</v>
      </c>
      <c r="D815" t="s">
        <v>10</v>
      </c>
      <c r="E815" t="s">
        <v>11</v>
      </c>
      <c r="F815">
        <v>20</v>
      </c>
      <c r="G815">
        <v>13</v>
      </c>
      <c r="H815">
        <v>260</v>
      </c>
      <c r="I815" t="s">
        <v>15</v>
      </c>
      <c r="J815" t="s">
        <v>12</v>
      </c>
      <c r="K815" t="s">
        <v>16</v>
      </c>
    </row>
    <row r="816" spans="2:11" x14ac:dyDescent="0.25">
      <c r="B816">
        <v>812</v>
      </c>
      <c r="C816" s="1">
        <v>44781</v>
      </c>
      <c r="D816" t="s">
        <v>21</v>
      </c>
      <c r="E816" t="s">
        <v>11</v>
      </c>
      <c r="F816">
        <v>20</v>
      </c>
      <c r="G816">
        <v>5</v>
      </c>
      <c r="H816">
        <v>100</v>
      </c>
      <c r="I816" t="s">
        <v>15</v>
      </c>
      <c r="J816" t="s">
        <v>12</v>
      </c>
      <c r="K816" t="s">
        <v>16</v>
      </c>
    </row>
    <row r="817" spans="2:11" x14ac:dyDescent="0.25">
      <c r="B817">
        <v>813</v>
      </c>
      <c r="C817" s="1">
        <v>44847</v>
      </c>
      <c r="D817" t="s">
        <v>21</v>
      </c>
      <c r="E817" t="s">
        <v>11</v>
      </c>
      <c r="F817">
        <v>20</v>
      </c>
      <c r="G817">
        <v>10</v>
      </c>
      <c r="H817">
        <v>200</v>
      </c>
      <c r="I817" t="s">
        <v>19</v>
      </c>
      <c r="J817" t="s">
        <v>12</v>
      </c>
      <c r="K817" t="s">
        <v>16</v>
      </c>
    </row>
    <row r="818" spans="2:11" x14ac:dyDescent="0.25">
      <c r="B818">
        <v>814</v>
      </c>
      <c r="C818" s="1">
        <v>44839</v>
      </c>
      <c r="D818" t="s">
        <v>14</v>
      </c>
      <c r="E818" t="s">
        <v>11</v>
      </c>
      <c r="F818">
        <v>20</v>
      </c>
      <c r="G818">
        <v>13</v>
      </c>
      <c r="H818">
        <v>260</v>
      </c>
      <c r="I818" t="s">
        <v>15</v>
      </c>
      <c r="J818" t="s">
        <v>22</v>
      </c>
      <c r="K818" t="s">
        <v>26</v>
      </c>
    </row>
    <row r="819" spans="2:11" x14ac:dyDescent="0.25">
      <c r="B819">
        <v>815</v>
      </c>
      <c r="C819" s="1">
        <v>44671</v>
      </c>
      <c r="D819" t="s">
        <v>27</v>
      </c>
      <c r="E819" t="s">
        <v>18</v>
      </c>
      <c r="F819">
        <v>40</v>
      </c>
      <c r="G819">
        <v>12</v>
      </c>
      <c r="H819">
        <v>480</v>
      </c>
      <c r="I819" t="s">
        <v>19</v>
      </c>
      <c r="J819" t="s">
        <v>22</v>
      </c>
      <c r="K819" t="s">
        <v>16</v>
      </c>
    </row>
    <row r="820" spans="2:11" x14ac:dyDescent="0.25">
      <c r="B820">
        <v>816</v>
      </c>
      <c r="C820" s="1">
        <v>44937</v>
      </c>
      <c r="D820" t="s">
        <v>17</v>
      </c>
      <c r="E820" t="s">
        <v>18</v>
      </c>
      <c r="F820">
        <v>25</v>
      </c>
      <c r="G820">
        <v>11</v>
      </c>
      <c r="H820">
        <v>275</v>
      </c>
      <c r="I820" t="s">
        <v>15</v>
      </c>
      <c r="J820" t="s">
        <v>12</v>
      </c>
      <c r="K820" t="s">
        <v>23</v>
      </c>
    </row>
    <row r="821" spans="2:11" x14ac:dyDescent="0.25">
      <c r="B821">
        <v>817</v>
      </c>
      <c r="C821" s="1">
        <v>44702</v>
      </c>
      <c r="D821" t="s">
        <v>10</v>
      </c>
      <c r="E821" t="s">
        <v>11</v>
      </c>
      <c r="F821">
        <v>20</v>
      </c>
      <c r="G821">
        <v>12</v>
      </c>
      <c r="H821">
        <v>240</v>
      </c>
      <c r="I821" t="s">
        <v>15</v>
      </c>
      <c r="J821" t="s">
        <v>22</v>
      </c>
      <c r="K821" t="s">
        <v>20</v>
      </c>
    </row>
    <row r="822" spans="2:11" x14ac:dyDescent="0.25">
      <c r="B822">
        <v>818</v>
      </c>
      <c r="C822" s="1">
        <v>44985</v>
      </c>
      <c r="D822" t="s">
        <v>24</v>
      </c>
      <c r="E822" t="s">
        <v>11</v>
      </c>
      <c r="F822">
        <v>50</v>
      </c>
      <c r="G822">
        <v>6</v>
      </c>
      <c r="H822">
        <v>300</v>
      </c>
      <c r="I822" t="s">
        <v>15</v>
      </c>
      <c r="J822" t="s">
        <v>12</v>
      </c>
      <c r="K822" t="s">
        <v>13</v>
      </c>
    </row>
    <row r="823" spans="2:11" x14ac:dyDescent="0.25">
      <c r="B823">
        <v>819</v>
      </c>
      <c r="C823" s="1">
        <v>44846</v>
      </c>
      <c r="D823" t="s">
        <v>14</v>
      </c>
      <c r="E823" t="s">
        <v>11</v>
      </c>
      <c r="F823">
        <v>20</v>
      </c>
      <c r="G823">
        <v>10</v>
      </c>
      <c r="H823">
        <v>200</v>
      </c>
      <c r="I823" t="s">
        <v>15</v>
      </c>
      <c r="J823" t="s">
        <v>12</v>
      </c>
      <c r="K823" t="s">
        <v>20</v>
      </c>
    </row>
    <row r="824" spans="2:11" x14ac:dyDescent="0.25">
      <c r="B824">
        <v>820</v>
      </c>
      <c r="C824" s="1">
        <v>44981</v>
      </c>
      <c r="D824" t="s">
        <v>10</v>
      </c>
      <c r="E824" t="s">
        <v>11</v>
      </c>
      <c r="F824">
        <v>20</v>
      </c>
      <c r="G824">
        <v>3</v>
      </c>
      <c r="H824">
        <v>60</v>
      </c>
      <c r="J824" t="s">
        <v>12</v>
      </c>
      <c r="K824" t="s">
        <v>26</v>
      </c>
    </row>
    <row r="825" spans="2:11" x14ac:dyDescent="0.25">
      <c r="B825">
        <v>821</v>
      </c>
      <c r="C825" s="1">
        <v>44766</v>
      </c>
      <c r="D825" t="s">
        <v>10</v>
      </c>
      <c r="E825" t="s">
        <v>11</v>
      </c>
      <c r="F825">
        <v>20</v>
      </c>
      <c r="G825">
        <v>12</v>
      </c>
      <c r="H825">
        <v>240</v>
      </c>
      <c r="I825" t="s">
        <v>15</v>
      </c>
      <c r="J825" t="s">
        <v>22</v>
      </c>
      <c r="K825" t="s">
        <v>26</v>
      </c>
    </row>
    <row r="826" spans="2:11" x14ac:dyDescent="0.25">
      <c r="B826">
        <v>822</v>
      </c>
      <c r="C826" s="1">
        <v>44729</v>
      </c>
      <c r="D826" t="s">
        <v>21</v>
      </c>
      <c r="E826" t="s">
        <v>11</v>
      </c>
      <c r="F826">
        <v>20</v>
      </c>
      <c r="G826">
        <v>12</v>
      </c>
      <c r="H826">
        <v>240</v>
      </c>
      <c r="I826" t="s">
        <v>19</v>
      </c>
      <c r="J826" t="s">
        <v>12</v>
      </c>
      <c r="K826" t="s">
        <v>23</v>
      </c>
    </row>
    <row r="827" spans="2:11" x14ac:dyDescent="0.25">
      <c r="B827">
        <v>823</v>
      </c>
      <c r="C827" s="1">
        <v>44970</v>
      </c>
      <c r="D827" t="s">
        <v>21</v>
      </c>
      <c r="E827" t="s">
        <v>11</v>
      </c>
      <c r="F827">
        <v>20</v>
      </c>
      <c r="G827">
        <v>11</v>
      </c>
      <c r="H827">
        <v>220</v>
      </c>
      <c r="I827" t="s">
        <v>19</v>
      </c>
      <c r="J827" t="s">
        <v>12</v>
      </c>
      <c r="K827" t="s">
        <v>26</v>
      </c>
    </row>
    <row r="828" spans="2:11" x14ac:dyDescent="0.25">
      <c r="B828">
        <v>824</v>
      </c>
      <c r="C828" s="1">
        <v>44944</v>
      </c>
      <c r="D828" t="s">
        <v>14</v>
      </c>
      <c r="E828" t="s">
        <v>11</v>
      </c>
      <c r="F828">
        <v>20</v>
      </c>
      <c r="G828">
        <v>2</v>
      </c>
      <c r="H828">
        <v>40</v>
      </c>
      <c r="I828" t="s">
        <v>19</v>
      </c>
      <c r="J828" t="s">
        <v>22</v>
      </c>
      <c r="K828" t="s">
        <v>20</v>
      </c>
    </row>
    <row r="829" spans="2:11" x14ac:dyDescent="0.25">
      <c r="B829">
        <v>825</v>
      </c>
      <c r="C829" s="1">
        <v>44864</v>
      </c>
      <c r="D829" t="s">
        <v>21</v>
      </c>
      <c r="E829" t="s">
        <v>11</v>
      </c>
      <c r="F829">
        <v>20</v>
      </c>
      <c r="G829">
        <v>14</v>
      </c>
      <c r="H829">
        <v>280</v>
      </c>
      <c r="I829" t="s">
        <v>15</v>
      </c>
      <c r="J829" t="s">
        <v>22</v>
      </c>
      <c r="K829" t="s">
        <v>23</v>
      </c>
    </row>
    <row r="830" spans="2:11" x14ac:dyDescent="0.25">
      <c r="B830">
        <v>826</v>
      </c>
      <c r="C830" s="1">
        <v>44897</v>
      </c>
      <c r="D830" t="s">
        <v>25</v>
      </c>
      <c r="E830" t="s">
        <v>11</v>
      </c>
      <c r="F830">
        <v>60</v>
      </c>
      <c r="G830">
        <v>15</v>
      </c>
      <c r="H830">
        <v>900</v>
      </c>
      <c r="I830" t="s">
        <v>15</v>
      </c>
      <c r="J830" t="s">
        <v>22</v>
      </c>
      <c r="K830" t="s">
        <v>13</v>
      </c>
    </row>
    <row r="831" spans="2:11" x14ac:dyDescent="0.25">
      <c r="B831">
        <v>827</v>
      </c>
      <c r="C831" s="1">
        <v>44932</v>
      </c>
      <c r="D831" t="s">
        <v>25</v>
      </c>
      <c r="E831" t="s">
        <v>11</v>
      </c>
      <c r="F831">
        <v>60</v>
      </c>
      <c r="G831">
        <v>12</v>
      </c>
      <c r="H831">
        <v>720</v>
      </c>
      <c r="I831" t="s">
        <v>15</v>
      </c>
      <c r="J831" t="s">
        <v>12</v>
      </c>
      <c r="K831" t="s">
        <v>26</v>
      </c>
    </row>
    <row r="832" spans="2:11" x14ac:dyDescent="0.25">
      <c r="B832">
        <v>828</v>
      </c>
      <c r="C832" s="1">
        <v>44791</v>
      </c>
      <c r="D832" t="s">
        <v>21</v>
      </c>
      <c r="E832" t="s">
        <v>11</v>
      </c>
      <c r="F832">
        <v>20</v>
      </c>
      <c r="G832">
        <v>6</v>
      </c>
      <c r="H832">
        <v>120</v>
      </c>
      <c r="I832" t="s">
        <v>15</v>
      </c>
      <c r="J832" t="s">
        <v>12</v>
      </c>
      <c r="K832" t="s">
        <v>20</v>
      </c>
    </row>
    <row r="833" spans="2:11" x14ac:dyDescent="0.25">
      <c r="B833">
        <v>829</v>
      </c>
      <c r="C833" s="1">
        <v>44823</v>
      </c>
      <c r="D833" t="s">
        <v>27</v>
      </c>
      <c r="E833" t="s">
        <v>18</v>
      </c>
      <c r="F833">
        <v>40</v>
      </c>
      <c r="G833">
        <v>6</v>
      </c>
      <c r="H833">
        <v>240</v>
      </c>
      <c r="I833" t="s">
        <v>15</v>
      </c>
      <c r="J833" t="s">
        <v>12</v>
      </c>
      <c r="K833" t="s">
        <v>13</v>
      </c>
    </row>
    <row r="834" spans="2:11" x14ac:dyDescent="0.25">
      <c r="B834">
        <v>830</v>
      </c>
      <c r="C834" s="1">
        <v>44893</v>
      </c>
      <c r="D834" t="s">
        <v>27</v>
      </c>
      <c r="E834" t="s">
        <v>18</v>
      </c>
      <c r="F834">
        <v>40</v>
      </c>
      <c r="G834">
        <v>9</v>
      </c>
      <c r="H834">
        <v>360</v>
      </c>
      <c r="J834" t="s">
        <v>12</v>
      </c>
      <c r="K834" t="s">
        <v>13</v>
      </c>
    </row>
    <row r="835" spans="2:11" x14ac:dyDescent="0.25">
      <c r="B835">
        <v>831</v>
      </c>
      <c r="C835" s="1">
        <v>44774</v>
      </c>
      <c r="D835" t="s">
        <v>24</v>
      </c>
      <c r="E835" t="s">
        <v>11</v>
      </c>
      <c r="F835">
        <v>50</v>
      </c>
      <c r="G835">
        <v>5</v>
      </c>
      <c r="H835">
        <v>250</v>
      </c>
      <c r="I835" t="s">
        <v>19</v>
      </c>
      <c r="J835" t="s">
        <v>22</v>
      </c>
      <c r="K835" t="s">
        <v>23</v>
      </c>
    </row>
    <row r="836" spans="2:11" x14ac:dyDescent="0.25">
      <c r="B836">
        <v>832</v>
      </c>
      <c r="C836" s="1">
        <v>44718</v>
      </c>
      <c r="D836" t="s">
        <v>17</v>
      </c>
      <c r="E836" t="s">
        <v>18</v>
      </c>
      <c r="F836">
        <v>25</v>
      </c>
      <c r="G836">
        <v>4</v>
      </c>
      <c r="H836">
        <v>100</v>
      </c>
      <c r="I836" t="s">
        <v>15</v>
      </c>
      <c r="J836" t="s">
        <v>12</v>
      </c>
      <c r="K836" t="s">
        <v>23</v>
      </c>
    </row>
    <row r="837" spans="2:11" x14ac:dyDescent="0.25">
      <c r="B837">
        <v>833</v>
      </c>
      <c r="C837" s="1">
        <v>44805</v>
      </c>
      <c r="D837" t="s">
        <v>21</v>
      </c>
      <c r="E837" t="s">
        <v>11</v>
      </c>
      <c r="F837">
        <v>20</v>
      </c>
      <c r="G837">
        <v>2</v>
      </c>
      <c r="H837">
        <v>40</v>
      </c>
      <c r="I837" t="s">
        <v>19</v>
      </c>
      <c r="J837" t="s">
        <v>22</v>
      </c>
      <c r="K837" t="s">
        <v>20</v>
      </c>
    </row>
    <row r="838" spans="2:11" x14ac:dyDescent="0.25">
      <c r="B838">
        <v>834</v>
      </c>
      <c r="C838" s="1">
        <v>44706</v>
      </c>
      <c r="D838" t="s">
        <v>17</v>
      </c>
      <c r="E838" t="s">
        <v>18</v>
      </c>
      <c r="F838">
        <v>25</v>
      </c>
      <c r="G838">
        <v>14</v>
      </c>
      <c r="H838">
        <v>350</v>
      </c>
      <c r="I838" t="s">
        <v>15</v>
      </c>
      <c r="J838" t="s">
        <v>12</v>
      </c>
      <c r="K838" t="s">
        <v>20</v>
      </c>
    </row>
    <row r="839" spans="2:11" x14ac:dyDescent="0.25">
      <c r="B839">
        <v>835</v>
      </c>
      <c r="C839" s="1">
        <v>44831</v>
      </c>
      <c r="D839" t="s">
        <v>17</v>
      </c>
      <c r="E839" t="s">
        <v>18</v>
      </c>
      <c r="F839">
        <v>25</v>
      </c>
      <c r="G839">
        <v>7</v>
      </c>
      <c r="H839">
        <v>175</v>
      </c>
      <c r="I839" t="s">
        <v>19</v>
      </c>
      <c r="J839" t="s">
        <v>12</v>
      </c>
      <c r="K839" t="s">
        <v>16</v>
      </c>
    </row>
    <row r="840" spans="2:11" x14ac:dyDescent="0.25">
      <c r="B840">
        <v>836</v>
      </c>
      <c r="C840" s="1">
        <v>44804</v>
      </c>
      <c r="D840" t="s">
        <v>14</v>
      </c>
      <c r="E840" t="s">
        <v>11</v>
      </c>
      <c r="F840">
        <v>20</v>
      </c>
      <c r="G840">
        <v>2</v>
      </c>
      <c r="H840">
        <v>40</v>
      </c>
      <c r="I840" t="s">
        <v>15</v>
      </c>
      <c r="J840" t="s">
        <v>22</v>
      </c>
      <c r="K840" t="s">
        <v>26</v>
      </c>
    </row>
    <row r="841" spans="2:11" x14ac:dyDescent="0.25">
      <c r="B841">
        <v>837</v>
      </c>
      <c r="C841" s="1">
        <v>44700</v>
      </c>
      <c r="D841" t="s">
        <v>10</v>
      </c>
      <c r="E841" t="s">
        <v>11</v>
      </c>
      <c r="F841">
        <v>20</v>
      </c>
      <c r="G841">
        <v>7</v>
      </c>
      <c r="H841">
        <v>140</v>
      </c>
      <c r="I841" t="s">
        <v>15</v>
      </c>
      <c r="J841" t="s">
        <v>12</v>
      </c>
      <c r="K841" t="s">
        <v>26</v>
      </c>
    </row>
    <row r="842" spans="2:11" x14ac:dyDescent="0.25">
      <c r="B842">
        <v>838</v>
      </c>
      <c r="C842" s="1">
        <v>44773</v>
      </c>
      <c r="D842" t="s">
        <v>27</v>
      </c>
      <c r="E842" t="s">
        <v>18</v>
      </c>
      <c r="F842">
        <v>40</v>
      </c>
      <c r="G842">
        <v>9</v>
      </c>
      <c r="H842">
        <v>360</v>
      </c>
      <c r="I842" t="s">
        <v>19</v>
      </c>
      <c r="J842" t="s">
        <v>22</v>
      </c>
      <c r="K842" t="s">
        <v>23</v>
      </c>
    </row>
    <row r="843" spans="2:11" x14ac:dyDescent="0.25">
      <c r="B843">
        <v>839</v>
      </c>
      <c r="C843" s="1">
        <v>44689</v>
      </c>
      <c r="D843" t="s">
        <v>17</v>
      </c>
      <c r="E843" t="s">
        <v>18</v>
      </c>
      <c r="F843">
        <v>25</v>
      </c>
      <c r="G843">
        <v>4</v>
      </c>
      <c r="H843">
        <v>100</v>
      </c>
      <c r="I843" t="s">
        <v>15</v>
      </c>
      <c r="J843" t="s">
        <v>22</v>
      </c>
      <c r="K843" t="s">
        <v>16</v>
      </c>
    </row>
    <row r="844" spans="2:11" x14ac:dyDescent="0.25">
      <c r="B844">
        <v>840</v>
      </c>
      <c r="C844" s="1">
        <v>44975</v>
      </c>
      <c r="D844" t="s">
        <v>27</v>
      </c>
      <c r="E844" t="s">
        <v>18</v>
      </c>
      <c r="F844">
        <v>40</v>
      </c>
      <c r="G844">
        <v>15</v>
      </c>
      <c r="H844">
        <v>600</v>
      </c>
      <c r="J844" t="s">
        <v>22</v>
      </c>
      <c r="K844" t="s">
        <v>26</v>
      </c>
    </row>
    <row r="845" spans="2:11" x14ac:dyDescent="0.25">
      <c r="B845">
        <v>841</v>
      </c>
      <c r="C845" s="1">
        <v>44960</v>
      </c>
      <c r="D845" t="s">
        <v>14</v>
      </c>
      <c r="E845" t="s">
        <v>11</v>
      </c>
      <c r="F845">
        <v>20</v>
      </c>
      <c r="G845">
        <v>9</v>
      </c>
      <c r="H845">
        <v>180</v>
      </c>
      <c r="I845" t="s">
        <v>15</v>
      </c>
      <c r="J845" t="s">
        <v>12</v>
      </c>
      <c r="K845" t="s">
        <v>13</v>
      </c>
    </row>
    <row r="846" spans="2:11" x14ac:dyDescent="0.25">
      <c r="B846">
        <v>842</v>
      </c>
      <c r="C846" s="1">
        <v>44706</v>
      </c>
      <c r="D846" t="s">
        <v>21</v>
      </c>
      <c r="E846" t="s">
        <v>11</v>
      </c>
      <c r="F846">
        <v>20</v>
      </c>
      <c r="G846">
        <v>2</v>
      </c>
      <c r="H846">
        <v>40</v>
      </c>
      <c r="I846" t="s">
        <v>15</v>
      </c>
      <c r="J846" t="s">
        <v>22</v>
      </c>
      <c r="K846" t="s">
        <v>20</v>
      </c>
    </row>
    <row r="847" spans="2:11" x14ac:dyDescent="0.25">
      <c r="B847">
        <v>843</v>
      </c>
      <c r="C847" s="1">
        <v>44746</v>
      </c>
      <c r="D847" t="s">
        <v>17</v>
      </c>
      <c r="E847" t="s">
        <v>18</v>
      </c>
      <c r="F847">
        <v>25</v>
      </c>
      <c r="G847">
        <v>1</v>
      </c>
      <c r="H847">
        <v>25</v>
      </c>
      <c r="I847" t="s">
        <v>15</v>
      </c>
      <c r="J847" t="s">
        <v>22</v>
      </c>
      <c r="K847" t="s">
        <v>23</v>
      </c>
    </row>
    <row r="848" spans="2:11" x14ac:dyDescent="0.25">
      <c r="B848">
        <v>844</v>
      </c>
      <c r="C848" s="1">
        <v>44685</v>
      </c>
      <c r="D848" t="s">
        <v>17</v>
      </c>
      <c r="E848" t="s">
        <v>18</v>
      </c>
      <c r="F848">
        <v>25</v>
      </c>
      <c r="G848">
        <v>13</v>
      </c>
      <c r="H848">
        <v>325</v>
      </c>
      <c r="I848" t="s">
        <v>15</v>
      </c>
      <c r="J848" t="s">
        <v>12</v>
      </c>
      <c r="K848" t="s">
        <v>23</v>
      </c>
    </row>
    <row r="849" spans="2:11" x14ac:dyDescent="0.25">
      <c r="B849">
        <v>845</v>
      </c>
      <c r="C849" s="1">
        <v>44743</v>
      </c>
      <c r="D849" t="s">
        <v>27</v>
      </c>
      <c r="E849" t="s">
        <v>18</v>
      </c>
      <c r="F849">
        <v>40</v>
      </c>
      <c r="G849">
        <v>6</v>
      </c>
      <c r="H849">
        <v>240</v>
      </c>
      <c r="I849" t="s">
        <v>19</v>
      </c>
      <c r="J849" t="s">
        <v>22</v>
      </c>
      <c r="K849" t="s">
        <v>20</v>
      </c>
    </row>
    <row r="850" spans="2:11" x14ac:dyDescent="0.25">
      <c r="B850">
        <v>846</v>
      </c>
      <c r="C850" s="1">
        <v>44671</v>
      </c>
      <c r="D850" t="s">
        <v>10</v>
      </c>
      <c r="E850" t="s">
        <v>11</v>
      </c>
      <c r="F850">
        <v>20</v>
      </c>
      <c r="G850">
        <v>5</v>
      </c>
      <c r="H850">
        <v>100</v>
      </c>
      <c r="I850" t="s">
        <v>19</v>
      </c>
      <c r="J850" t="s">
        <v>12</v>
      </c>
      <c r="K850" t="s">
        <v>16</v>
      </c>
    </row>
    <row r="851" spans="2:11" x14ac:dyDescent="0.25">
      <c r="B851">
        <v>847</v>
      </c>
      <c r="C851" s="1">
        <v>44787</v>
      </c>
      <c r="D851" t="s">
        <v>21</v>
      </c>
      <c r="E851" t="s">
        <v>11</v>
      </c>
      <c r="F851">
        <v>20</v>
      </c>
      <c r="G851">
        <v>11</v>
      </c>
      <c r="H851">
        <v>220</v>
      </c>
      <c r="I851" t="s">
        <v>19</v>
      </c>
      <c r="J851" t="s">
        <v>12</v>
      </c>
      <c r="K851" t="s">
        <v>26</v>
      </c>
    </row>
    <row r="852" spans="2:11" x14ac:dyDescent="0.25">
      <c r="B852">
        <v>848</v>
      </c>
      <c r="C852" s="1">
        <v>44875</v>
      </c>
      <c r="D852" t="s">
        <v>24</v>
      </c>
      <c r="E852" t="s">
        <v>11</v>
      </c>
      <c r="F852">
        <v>50</v>
      </c>
      <c r="G852">
        <v>9</v>
      </c>
      <c r="H852">
        <v>450</v>
      </c>
      <c r="I852" t="s">
        <v>15</v>
      </c>
      <c r="J852" t="s">
        <v>12</v>
      </c>
      <c r="K852" t="s">
        <v>13</v>
      </c>
    </row>
    <row r="853" spans="2:11" x14ac:dyDescent="0.25">
      <c r="B853">
        <v>849</v>
      </c>
      <c r="C853" s="1">
        <v>44868</v>
      </c>
      <c r="D853" t="s">
        <v>27</v>
      </c>
      <c r="E853" t="s">
        <v>18</v>
      </c>
      <c r="F853">
        <v>40</v>
      </c>
      <c r="G853">
        <v>10</v>
      </c>
      <c r="H853">
        <v>400</v>
      </c>
      <c r="I853" t="s">
        <v>15</v>
      </c>
      <c r="J853" t="s">
        <v>22</v>
      </c>
      <c r="K853" t="s">
        <v>13</v>
      </c>
    </row>
    <row r="854" spans="2:11" x14ac:dyDescent="0.25">
      <c r="B854">
        <v>850</v>
      </c>
      <c r="C854" s="1">
        <v>44793</v>
      </c>
      <c r="D854" t="s">
        <v>14</v>
      </c>
      <c r="E854" t="s">
        <v>11</v>
      </c>
      <c r="F854">
        <v>20</v>
      </c>
      <c r="G854">
        <v>3</v>
      </c>
      <c r="H854">
        <v>60</v>
      </c>
      <c r="I854" t="s">
        <v>19</v>
      </c>
      <c r="J854" t="s">
        <v>22</v>
      </c>
      <c r="K854" t="s">
        <v>16</v>
      </c>
    </row>
    <row r="855" spans="2:11" x14ac:dyDescent="0.25">
      <c r="B855">
        <v>851</v>
      </c>
      <c r="C855" s="1">
        <v>44954</v>
      </c>
      <c r="D855" t="s">
        <v>10</v>
      </c>
      <c r="E855" t="s">
        <v>11</v>
      </c>
      <c r="F855">
        <v>20</v>
      </c>
      <c r="G855">
        <v>15</v>
      </c>
      <c r="H855">
        <v>300</v>
      </c>
      <c r="I855" t="s">
        <v>19</v>
      </c>
      <c r="J855" t="s">
        <v>22</v>
      </c>
      <c r="K855" t="s">
        <v>13</v>
      </c>
    </row>
    <row r="856" spans="2:11" x14ac:dyDescent="0.25">
      <c r="B856">
        <v>852</v>
      </c>
      <c r="C856" s="1">
        <v>44686</v>
      </c>
      <c r="D856" t="s">
        <v>17</v>
      </c>
      <c r="E856" t="s">
        <v>18</v>
      </c>
      <c r="F856">
        <v>25</v>
      </c>
      <c r="G856">
        <v>8</v>
      </c>
      <c r="H856">
        <v>200</v>
      </c>
      <c r="I856" t="s">
        <v>19</v>
      </c>
      <c r="J856" t="s">
        <v>12</v>
      </c>
      <c r="K856" t="s">
        <v>13</v>
      </c>
    </row>
    <row r="857" spans="2:11" x14ac:dyDescent="0.25">
      <c r="B857">
        <v>853</v>
      </c>
      <c r="C857" s="1">
        <v>44974</v>
      </c>
      <c r="D857" t="s">
        <v>27</v>
      </c>
      <c r="E857" t="s">
        <v>18</v>
      </c>
      <c r="F857">
        <v>40</v>
      </c>
      <c r="G857">
        <v>3</v>
      </c>
      <c r="H857">
        <v>120</v>
      </c>
      <c r="I857" t="s">
        <v>19</v>
      </c>
      <c r="J857" t="s">
        <v>22</v>
      </c>
      <c r="K857" t="s">
        <v>26</v>
      </c>
    </row>
    <row r="858" spans="2:11" x14ac:dyDescent="0.25">
      <c r="B858">
        <v>854</v>
      </c>
      <c r="C858" s="1">
        <v>44848</v>
      </c>
      <c r="D858" t="s">
        <v>27</v>
      </c>
      <c r="E858" t="s">
        <v>18</v>
      </c>
      <c r="F858">
        <v>40</v>
      </c>
      <c r="G858">
        <v>14</v>
      </c>
      <c r="H858">
        <v>560</v>
      </c>
      <c r="I858" t="s">
        <v>19</v>
      </c>
      <c r="J858" t="s">
        <v>22</v>
      </c>
      <c r="K858" t="s">
        <v>13</v>
      </c>
    </row>
    <row r="859" spans="2:11" x14ac:dyDescent="0.25">
      <c r="B859">
        <v>855</v>
      </c>
      <c r="C859" s="1">
        <v>44857</v>
      </c>
      <c r="D859" t="s">
        <v>14</v>
      </c>
      <c r="E859" t="s">
        <v>11</v>
      </c>
      <c r="F859">
        <v>20</v>
      </c>
      <c r="G859">
        <v>5</v>
      </c>
      <c r="H859">
        <v>100</v>
      </c>
      <c r="I859" t="s">
        <v>19</v>
      </c>
      <c r="J859" t="s">
        <v>12</v>
      </c>
      <c r="K859" t="s">
        <v>20</v>
      </c>
    </row>
    <row r="860" spans="2:11" x14ac:dyDescent="0.25">
      <c r="B860">
        <v>856</v>
      </c>
      <c r="C860" s="1">
        <v>44685</v>
      </c>
      <c r="D860" t="s">
        <v>10</v>
      </c>
      <c r="E860" t="s">
        <v>11</v>
      </c>
      <c r="F860">
        <v>20</v>
      </c>
      <c r="G860">
        <v>11</v>
      </c>
      <c r="H860">
        <v>220</v>
      </c>
      <c r="I860" t="s">
        <v>15</v>
      </c>
      <c r="J860" t="s">
        <v>22</v>
      </c>
      <c r="K860" t="s">
        <v>13</v>
      </c>
    </row>
    <row r="861" spans="2:11" x14ac:dyDescent="0.25">
      <c r="B861">
        <v>857</v>
      </c>
      <c r="C861" s="1">
        <v>44873</v>
      </c>
      <c r="D861" t="s">
        <v>17</v>
      </c>
      <c r="E861" t="s">
        <v>18</v>
      </c>
      <c r="F861">
        <v>25</v>
      </c>
      <c r="G861">
        <v>14</v>
      </c>
      <c r="H861">
        <v>350</v>
      </c>
      <c r="I861" t="s">
        <v>19</v>
      </c>
      <c r="J861" t="s">
        <v>22</v>
      </c>
      <c r="K861" t="s">
        <v>20</v>
      </c>
    </row>
    <row r="862" spans="2:11" x14ac:dyDescent="0.25">
      <c r="B862">
        <v>858</v>
      </c>
      <c r="C862" s="1">
        <v>44887</v>
      </c>
      <c r="D862" t="s">
        <v>27</v>
      </c>
      <c r="E862" t="s">
        <v>18</v>
      </c>
      <c r="F862">
        <v>40</v>
      </c>
      <c r="G862">
        <v>9</v>
      </c>
      <c r="H862">
        <v>360</v>
      </c>
      <c r="I862" t="s">
        <v>15</v>
      </c>
      <c r="J862" t="s">
        <v>12</v>
      </c>
      <c r="K862" t="s">
        <v>20</v>
      </c>
    </row>
    <row r="863" spans="2:11" x14ac:dyDescent="0.25">
      <c r="B863">
        <v>859</v>
      </c>
      <c r="C863" s="1">
        <v>44842</v>
      </c>
      <c r="D863" t="s">
        <v>25</v>
      </c>
      <c r="E863" t="s">
        <v>11</v>
      </c>
      <c r="F863">
        <v>60</v>
      </c>
      <c r="G863">
        <v>11</v>
      </c>
      <c r="H863">
        <v>660</v>
      </c>
      <c r="I863" t="s">
        <v>15</v>
      </c>
      <c r="J863" t="s">
        <v>22</v>
      </c>
      <c r="K863" t="s">
        <v>26</v>
      </c>
    </row>
    <row r="864" spans="2:11" x14ac:dyDescent="0.25">
      <c r="B864">
        <v>860</v>
      </c>
      <c r="C864" s="1">
        <v>44758</v>
      </c>
      <c r="D864" t="s">
        <v>27</v>
      </c>
      <c r="E864" t="s">
        <v>18</v>
      </c>
      <c r="F864">
        <v>40</v>
      </c>
      <c r="G864">
        <v>5</v>
      </c>
      <c r="H864">
        <v>200</v>
      </c>
      <c r="I864" t="s">
        <v>15</v>
      </c>
      <c r="J864" t="s">
        <v>12</v>
      </c>
      <c r="K864" t="s">
        <v>13</v>
      </c>
    </row>
    <row r="865" spans="2:11" x14ac:dyDescent="0.25">
      <c r="B865">
        <v>861</v>
      </c>
      <c r="C865" s="1">
        <v>44950</v>
      </c>
      <c r="D865" t="s">
        <v>17</v>
      </c>
      <c r="E865" t="s">
        <v>18</v>
      </c>
      <c r="F865">
        <v>25</v>
      </c>
      <c r="G865">
        <v>8</v>
      </c>
      <c r="H865">
        <v>200</v>
      </c>
      <c r="I865" t="s">
        <v>15</v>
      </c>
      <c r="J865" t="s">
        <v>22</v>
      </c>
      <c r="K865" t="s">
        <v>13</v>
      </c>
    </row>
    <row r="866" spans="2:11" x14ac:dyDescent="0.25">
      <c r="B866">
        <v>862</v>
      </c>
      <c r="C866" s="1">
        <v>44995</v>
      </c>
      <c r="D866" t="s">
        <v>24</v>
      </c>
      <c r="E866" t="s">
        <v>11</v>
      </c>
      <c r="F866">
        <v>50</v>
      </c>
      <c r="G866">
        <v>7</v>
      </c>
      <c r="H866">
        <v>350</v>
      </c>
      <c r="I866" t="s">
        <v>19</v>
      </c>
      <c r="J866" t="s">
        <v>12</v>
      </c>
      <c r="K866" t="s">
        <v>13</v>
      </c>
    </row>
    <row r="867" spans="2:11" x14ac:dyDescent="0.25">
      <c r="B867">
        <v>863</v>
      </c>
      <c r="C867" s="1">
        <v>44812</v>
      </c>
      <c r="D867" t="s">
        <v>24</v>
      </c>
      <c r="E867" t="s">
        <v>11</v>
      </c>
      <c r="F867">
        <v>50</v>
      </c>
      <c r="G867">
        <v>9</v>
      </c>
      <c r="H867">
        <v>450</v>
      </c>
      <c r="I867" t="s">
        <v>19</v>
      </c>
      <c r="J867" t="s">
        <v>12</v>
      </c>
      <c r="K867" t="s">
        <v>13</v>
      </c>
    </row>
    <row r="868" spans="2:11" x14ac:dyDescent="0.25">
      <c r="B868">
        <v>864</v>
      </c>
      <c r="C868" s="1">
        <v>44793</v>
      </c>
      <c r="D868" t="s">
        <v>27</v>
      </c>
      <c r="E868" t="s">
        <v>18</v>
      </c>
      <c r="F868">
        <v>40</v>
      </c>
      <c r="G868">
        <v>9</v>
      </c>
      <c r="H868">
        <v>360</v>
      </c>
      <c r="I868" t="s">
        <v>19</v>
      </c>
      <c r="J868" t="s">
        <v>12</v>
      </c>
      <c r="K868" t="s">
        <v>23</v>
      </c>
    </row>
    <row r="869" spans="2:11" x14ac:dyDescent="0.25">
      <c r="B869">
        <v>865</v>
      </c>
      <c r="C869" s="1">
        <v>44949</v>
      </c>
      <c r="D869" t="s">
        <v>17</v>
      </c>
      <c r="E869" t="s">
        <v>18</v>
      </c>
      <c r="F869">
        <v>25</v>
      </c>
      <c r="G869">
        <v>6</v>
      </c>
      <c r="H869">
        <v>150</v>
      </c>
      <c r="I869" t="s">
        <v>15</v>
      </c>
      <c r="J869" t="s">
        <v>22</v>
      </c>
      <c r="K869" t="s">
        <v>13</v>
      </c>
    </row>
    <row r="870" spans="2:11" x14ac:dyDescent="0.25">
      <c r="B870">
        <v>866</v>
      </c>
      <c r="C870" s="1">
        <v>44786</v>
      </c>
      <c r="D870" t="s">
        <v>24</v>
      </c>
      <c r="E870" t="s">
        <v>11</v>
      </c>
      <c r="F870">
        <v>50</v>
      </c>
      <c r="G870">
        <v>10</v>
      </c>
      <c r="H870">
        <v>500</v>
      </c>
      <c r="I870" t="s">
        <v>19</v>
      </c>
      <c r="J870" t="s">
        <v>12</v>
      </c>
      <c r="K870" t="s">
        <v>26</v>
      </c>
    </row>
    <row r="871" spans="2:11" x14ac:dyDescent="0.25">
      <c r="B871">
        <v>867</v>
      </c>
      <c r="C871" s="1">
        <v>44952</v>
      </c>
      <c r="D871" t="s">
        <v>24</v>
      </c>
      <c r="E871" t="s">
        <v>11</v>
      </c>
      <c r="F871">
        <v>50</v>
      </c>
      <c r="G871">
        <v>15</v>
      </c>
      <c r="H871">
        <v>750</v>
      </c>
      <c r="I871" t="s">
        <v>15</v>
      </c>
      <c r="J871" t="s">
        <v>12</v>
      </c>
      <c r="K871" t="s">
        <v>26</v>
      </c>
    </row>
    <row r="872" spans="2:11" x14ac:dyDescent="0.25">
      <c r="B872">
        <v>868</v>
      </c>
      <c r="C872" s="1">
        <v>44790</v>
      </c>
      <c r="D872" t="s">
        <v>10</v>
      </c>
      <c r="E872" t="s">
        <v>11</v>
      </c>
      <c r="F872">
        <v>20</v>
      </c>
      <c r="G872">
        <v>13</v>
      </c>
      <c r="H872">
        <v>260</v>
      </c>
      <c r="I872" t="s">
        <v>15</v>
      </c>
      <c r="J872" t="s">
        <v>22</v>
      </c>
      <c r="K872" t="s">
        <v>20</v>
      </c>
    </row>
    <row r="873" spans="2:11" x14ac:dyDescent="0.25">
      <c r="B873">
        <v>869</v>
      </c>
      <c r="C873" s="1">
        <v>44738</v>
      </c>
      <c r="D873" t="s">
        <v>21</v>
      </c>
      <c r="E873" t="s">
        <v>11</v>
      </c>
      <c r="F873">
        <v>20</v>
      </c>
      <c r="G873">
        <v>9</v>
      </c>
      <c r="H873">
        <v>180</v>
      </c>
      <c r="I873" t="s">
        <v>19</v>
      </c>
      <c r="J873" t="s">
        <v>12</v>
      </c>
      <c r="K873" t="s">
        <v>26</v>
      </c>
    </row>
    <row r="874" spans="2:11" x14ac:dyDescent="0.25">
      <c r="B874">
        <v>870</v>
      </c>
      <c r="C874" s="1">
        <v>44865</v>
      </c>
      <c r="D874" t="s">
        <v>27</v>
      </c>
      <c r="E874" t="s">
        <v>18</v>
      </c>
      <c r="F874">
        <v>40</v>
      </c>
      <c r="G874">
        <v>5</v>
      </c>
      <c r="H874">
        <v>200</v>
      </c>
      <c r="I874" t="s">
        <v>19</v>
      </c>
      <c r="J874" t="s">
        <v>22</v>
      </c>
      <c r="K874" t="s">
        <v>16</v>
      </c>
    </row>
    <row r="875" spans="2:11" x14ac:dyDescent="0.25">
      <c r="B875">
        <v>871</v>
      </c>
      <c r="C875" s="1">
        <v>44902</v>
      </c>
      <c r="D875" t="s">
        <v>14</v>
      </c>
      <c r="E875" t="s">
        <v>11</v>
      </c>
      <c r="F875">
        <v>20</v>
      </c>
      <c r="G875">
        <v>14</v>
      </c>
      <c r="H875">
        <v>280</v>
      </c>
      <c r="J875" t="s">
        <v>22</v>
      </c>
      <c r="K875" t="s">
        <v>20</v>
      </c>
    </row>
    <row r="876" spans="2:11" x14ac:dyDescent="0.25">
      <c r="B876">
        <v>872</v>
      </c>
      <c r="C876" s="1">
        <v>44756</v>
      </c>
      <c r="D876" t="s">
        <v>25</v>
      </c>
      <c r="E876" t="s">
        <v>11</v>
      </c>
      <c r="F876">
        <v>60</v>
      </c>
      <c r="G876">
        <v>12</v>
      </c>
      <c r="H876">
        <v>720</v>
      </c>
      <c r="I876" t="s">
        <v>15</v>
      </c>
      <c r="J876" t="s">
        <v>12</v>
      </c>
      <c r="K876" t="s">
        <v>16</v>
      </c>
    </row>
    <row r="877" spans="2:11" x14ac:dyDescent="0.25">
      <c r="B877">
        <v>873</v>
      </c>
      <c r="C877" s="1">
        <v>44690</v>
      </c>
      <c r="D877" t="s">
        <v>17</v>
      </c>
      <c r="E877" t="s">
        <v>18</v>
      </c>
      <c r="F877">
        <v>25</v>
      </c>
      <c r="G877">
        <v>1</v>
      </c>
      <c r="H877">
        <v>25</v>
      </c>
      <c r="I877" t="s">
        <v>19</v>
      </c>
      <c r="J877" t="s">
        <v>12</v>
      </c>
      <c r="K877" t="s">
        <v>13</v>
      </c>
    </row>
    <row r="878" spans="2:11" x14ac:dyDescent="0.25">
      <c r="B878">
        <v>874</v>
      </c>
      <c r="C878" s="1">
        <v>44690</v>
      </c>
      <c r="D878" t="s">
        <v>27</v>
      </c>
      <c r="E878" t="s">
        <v>18</v>
      </c>
      <c r="F878">
        <v>40</v>
      </c>
      <c r="G878">
        <v>4</v>
      </c>
      <c r="H878">
        <v>160</v>
      </c>
      <c r="I878" t="s">
        <v>15</v>
      </c>
      <c r="J878" t="s">
        <v>12</v>
      </c>
      <c r="K878" t="s">
        <v>26</v>
      </c>
    </row>
    <row r="879" spans="2:11" x14ac:dyDescent="0.25">
      <c r="B879">
        <v>875</v>
      </c>
      <c r="C879" s="1">
        <v>44778</v>
      </c>
      <c r="D879" t="s">
        <v>14</v>
      </c>
      <c r="E879" t="s">
        <v>11</v>
      </c>
      <c r="F879">
        <v>20</v>
      </c>
      <c r="G879">
        <v>15</v>
      </c>
      <c r="H879">
        <v>300</v>
      </c>
      <c r="I879" t="s">
        <v>15</v>
      </c>
      <c r="J879" t="s">
        <v>12</v>
      </c>
      <c r="K879" t="s">
        <v>20</v>
      </c>
    </row>
    <row r="880" spans="2:11" x14ac:dyDescent="0.25">
      <c r="B880">
        <v>876</v>
      </c>
      <c r="C880" s="1">
        <v>44722</v>
      </c>
      <c r="D880" t="s">
        <v>27</v>
      </c>
      <c r="E880" t="s">
        <v>18</v>
      </c>
      <c r="F880">
        <v>40</v>
      </c>
      <c r="G880">
        <v>8</v>
      </c>
      <c r="H880">
        <v>320</v>
      </c>
      <c r="I880" t="s">
        <v>19</v>
      </c>
      <c r="J880" t="s">
        <v>22</v>
      </c>
      <c r="K880" t="s">
        <v>20</v>
      </c>
    </row>
    <row r="881" spans="2:11" x14ac:dyDescent="0.25">
      <c r="B881">
        <v>877</v>
      </c>
      <c r="C881" s="1">
        <v>44861</v>
      </c>
      <c r="D881" t="s">
        <v>17</v>
      </c>
      <c r="E881" t="s">
        <v>18</v>
      </c>
      <c r="F881">
        <v>25</v>
      </c>
      <c r="G881">
        <v>14</v>
      </c>
      <c r="H881">
        <v>350</v>
      </c>
      <c r="I881" t="s">
        <v>15</v>
      </c>
      <c r="J881" t="s">
        <v>22</v>
      </c>
      <c r="K881" t="s">
        <v>16</v>
      </c>
    </row>
    <row r="882" spans="2:11" x14ac:dyDescent="0.25">
      <c r="B882">
        <v>878</v>
      </c>
      <c r="C882" s="1">
        <v>44785</v>
      </c>
      <c r="D882" t="s">
        <v>25</v>
      </c>
      <c r="E882" t="s">
        <v>11</v>
      </c>
      <c r="F882">
        <v>60</v>
      </c>
      <c r="G882">
        <v>6</v>
      </c>
      <c r="H882">
        <v>360</v>
      </c>
      <c r="I882" t="s">
        <v>19</v>
      </c>
      <c r="J882" t="s">
        <v>12</v>
      </c>
      <c r="K882" t="s">
        <v>20</v>
      </c>
    </row>
    <row r="883" spans="2:11" x14ac:dyDescent="0.25">
      <c r="B883">
        <v>879</v>
      </c>
      <c r="C883" s="1">
        <v>44871</v>
      </c>
      <c r="D883" t="s">
        <v>27</v>
      </c>
      <c r="E883" t="s">
        <v>18</v>
      </c>
      <c r="F883">
        <v>40</v>
      </c>
      <c r="G883">
        <v>9</v>
      </c>
      <c r="H883">
        <v>360</v>
      </c>
      <c r="I883" t="s">
        <v>15</v>
      </c>
      <c r="J883" t="s">
        <v>22</v>
      </c>
      <c r="K883" t="s">
        <v>20</v>
      </c>
    </row>
    <row r="884" spans="2:11" x14ac:dyDescent="0.25">
      <c r="B884">
        <v>880</v>
      </c>
      <c r="C884" s="1">
        <v>44737</v>
      </c>
      <c r="D884" t="s">
        <v>17</v>
      </c>
      <c r="E884" t="s">
        <v>18</v>
      </c>
      <c r="F884">
        <v>25</v>
      </c>
      <c r="G884">
        <v>5</v>
      </c>
      <c r="H884">
        <v>125</v>
      </c>
      <c r="I884" t="s">
        <v>15</v>
      </c>
      <c r="J884" t="s">
        <v>22</v>
      </c>
      <c r="K884" t="s">
        <v>23</v>
      </c>
    </row>
    <row r="885" spans="2:11" x14ac:dyDescent="0.25">
      <c r="B885">
        <v>881</v>
      </c>
      <c r="C885" s="1">
        <v>44706</v>
      </c>
      <c r="D885" t="s">
        <v>25</v>
      </c>
      <c r="E885" t="s">
        <v>11</v>
      </c>
      <c r="F885">
        <v>60</v>
      </c>
      <c r="G885">
        <v>2</v>
      </c>
      <c r="H885">
        <v>120</v>
      </c>
      <c r="I885" t="s">
        <v>15</v>
      </c>
      <c r="J885" t="s">
        <v>12</v>
      </c>
      <c r="K885" t="s">
        <v>26</v>
      </c>
    </row>
    <row r="886" spans="2:11" x14ac:dyDescent="0.25">
      <c r="B886">
        <v>882</v>
      </c>
      <c r="C886" s="1">
        <v>44674</v>
      </c>
      <c r="D886" t="s">
        <v>21</v>
      </c>
      <c r="E886" t="s">
        <v>11</v>
      </c>
      <c r="F886">
        <v>20</v>
      </c>
      <c r="G886">
        <v>9</v>
      </c>
      <c r="H886">
        <v>180</v>
      </c>
      <c r="I886" t="s">
        <v>19</v>
      </c>
      <c r="J886" t="s">
        <v>12</v>
      </c>
      <c r="K886" t="s">
        <v>23</v>
      </c>
    </row>
    <row r="887" spans="2:11" x14ac:dyDescent="0.25">
      <c r="B887">
        <v>883</v>
      </c>
      <c r="C887" s="1">
        <v>44797</v>
      </c>
      <c r="D887" t="s">
        <v>10</v>
      </c>
      <c r="E887" t="s">
        <v>11</v>
      </c>
      <c r="F887">
        <v>20</v>
      </c>
      <c r="G887">
        <v>5</v>
      </c>
      <c r="H887">
        <v>100</v>
      </c>
      <c r="I887" t="s">
        <v>19</v>
      </c>
      <c r="J887" t="s">
        <v>22</v>
      </c>
      <c r="K887" t="s">
        <v>26</v>
      </c>
    </row>
    <row r="888" spans="2:11" x14ac:dyDescent="0.25">
      <c r="B888">
        <v>884</v>
      </c>
      <c r="C888" s="1">
        <v>44986</v>
      </c>
      <c r="D888" t="s">
        <v>14</v>
      </c>
      <c r="E888" t="s">
        <v>11</v>
      </c>
      <c r="F888">
        <v>20</v>
      </c>
      <c r="G888">
        <v>12</v>
      </c>
      <c r="H888">
        <v>240</v>
      </c>
      <c r="I888" t="s">
        <v>19</v>
      </c>
      <c r="J888" t="s">
        <v>12</v>
      </c>
      <c r="K888" t="s">
        <v>13</v>
      </c>
    </row>
    <row r="889" spans="2:11" x14ac:dyDescent="0.25">
      <c r="B889">
        <v>885</v>
      </c>
      <c r="C889" s="1">
        <v>44850</v>
      </c>
      <c r="D889" t="s">
        <v>17</v>
      </c>
      <c r="E889" t="s">
        <v>18</v>
      </c>
      <c r="F889">
        <v>25</v>
      </c>
      <c r="G889">
        <v>4</v>
      </c>
      <c r="H889">
        <v>100</v>
      </c>
      <c r="I889" t="s">
        <v>15</v>
      </c>
      <c r="J889" t="s">
        <v>12</v>
      </c>
      <c r="K889" t="s">
        <v>20</v>
      </c>
    </row>
    <row r="890" spans="2:11" x14ac:dyDescent="0.25">
      <c r="B890">
        <v>886</v>
      </c>
      <c r="C890" s="1">
        <v>44763</v>
      </c>
      <c r="D890" t="s">
        <v>17</v>
      </c>
      <c r="E890" t="s">
        <v>18</v>
      </c>
      <c r="F890">
        <v>25</v>
      </c>
      <c r="G890">
        <v>4</v>
      </c>
      <c r="H890">
        <v>100</v>
      </c>
      <c r="I890" t="s">
        <v>15</v>
      </c>
      <c r="J890" t="s">
        <v>22</v>
      </c>
      <c r="K890" t="s">
        <v>13</v>
      </c>
    </row>
    <row r="891" spans="2:11" x14ac:dyDescent="0.25">
      <c r="B891">
        <v>887</v>
      </c>
      <c r="C891" s="1">
        <v>44858</v>
      </c>
      <c r="D891" t="s">
        <v>10</v>
      </c>
      <c r="E891" t="s">
        <v>11</v>
      </c>
      <c r="F891">
        <v>20</v>
      </c>
      <c r="G891">
        <v>3</v>
      </c>
      <c r="H891">
        <v>60</v>
      </c>
      <c r="I891" t="s">
        <v>15</v>
      </c>
      <c r="J891" t="s">
        <v>12</v>
      </c>
      <c r="K891" t="s">
        <v>23</v>
      </c>
    </row>
    <row r="892" spans="2:11" x14ac:dyDescent="0.25">
      <c r="B892">
        <v>888</v>
      </c>
      <c r="C892" s="1">
        <v>44809</v>
      </c>
      <c r="D892" t="s">
        <v>14</v>
      </c>
      <c r="E892" t="s">
        <v>11</v>
      </c>
      <c r="F892">
        <v>20</v>
      </c>
      <c r="G892">
        <v>8</v>
      </c>
      <c r="H892">
        <v>160</v>
      </c>
      <c r="I892" t="s">
        <v>15</v>
      </c>
      <c r="J892" t="s">
        <v>12</v>
      </c>
      <c r="K892" t="s">
        <v>20</v>
      </c>
    </row>
    <row r="893" spans="2:11" x14ac:dyDescent="0.25">
      <c r="B893">
        <v>889</v>
      </c>
      <c r="C893" s="1">
        <v>44663</v>
      </c>
      <c r="D893" t="s">
        <v>14</v>
      </c>
      <c r="E893" t="s">
        <v>11</v>
      </c>
      <c r="F893">
        <v>20</v>
      </c>
      <c r="G893">
        <v>10</v>
      </c>
      <c r="H893">
        <v>200</v>
      </c>
      <c r="I893" t="s">
        <v>19</v>
      </c>
      <c r="J893" t="s">
        <v>12</v>
      </c>
      <c r="K893" t="s">
        <v>26</v>
      </c>
    </row>
    <row r="894" spans="2:11" x14ac:dyDescent="0.25">
      <c r="B894">
        <v>890</v>
      </c>
      <c r="C894" s="1">
        <v>44988</v>
      </c>
      <c r="D894" t="s">
        <v>17</v>
      </c>
      <c r="E894" t="s">
        <v>18</v>
      </c>
      <c r="F894">
        <v>25</v>
      </c>
      <c r="G894">
        <v>5</v>
      </c>
      <c r="H894">
        <v>125</v>
      </c>
      <c r="I894" t="s">
        <v>15</v>
      </c>
      <c r="J894" t="s">
        <v>22</v>
      </c>
      <c r="K894" t="s">
        <v>23</v>
      </c>
    </row>
    <row r="895" spans="2:11" x14ac:dyDescent="0.25">
      <c r="B895">
        <v>891</v>
      </c>
      <c r="C895" s="1">
        <v>44922</v>
      </c>
      <c r="D895" t="s">
        <v>27</v>
      </c>
      <c r="E895" t="s">
        <v>18</v>
      </c>
      <c r="F895">
        <v>40</v>
      </c>
      <c r="G895">
        <v>11</v>
      </c>
      <c r="H895">
        <v>440</v>
      </c>
      <c r="I895" t="s">
        <v>15</v>
      </c>
      <c r="J895" t="s">
        <v>12</v>
      </c>
      <c r="K895" t="s">
        <v>26</v>
      </c>
    </row>
    <row r="896" spans="2:11" x14ac:dyDescent="0.25">
      <c r="B896">
        <v>892</v>
      </c>
      <c r="C896" s="1">
        <v>44756</v>
      </c>
      <c r="D896" t="s">
        <v>17</v>
      </c>
      <c r="E896" t="s">
        <v>18</v>
      </c>
      <c r="F896">
        <v>25</v>
      </c>
      <c r="G896">
        <v>7</v>
      </c>
      <c r="H896">
        <v>175</v>
      </c>
      <c r="I896" t="s">
        <v>19</v>
      </c>
      <c r="J896" t="s">
        <v>22</v>
      </c>
      <c r="K896" t="s">
        <v>20</v>
      </c>
    </row>
    <row r="897" spans="2:11" x14ac:dyDescent="0.25">
      <c r="B897">
        <v>893</v>
      </c>
      <c r="C897" s="1">
        <v>44755</v>
      </c>
      <c r="D897" t="s">
        <v>17</v>
      </c>
      <c r="E897" t="s">
        <v>18</v>
      </c>
      <c r="F897">
        <v>25</v>
      </c>
      <c r="G897">
        <v>12</v>
      </c>
      <c r="H897">
        <v>300</v>
      </c>
      <c r="I897" t="s">
        <v>15</v>
      </c>
      <c r="J897" t="s">
        <v>22</v>
      </c>
      <c r="K897" t="s">
        <v>16</v>
      </c>
    </row>
    <row r="898" spans="2:11" x14ac:dyDescent="0.25">
      <c r="B898">
        <v>894</v>
      </c>
      <c r="C898" s="1">
        <v>45004</v>
      </c>
      <c r="D898" t="s">
        <v>25</v>
      </c>
      <c r="E898" t="s">
        <v>11</v>
      </c>
      <c r="F898">
        <v>60</v>
      </c>
      <c r="G898">
        <v>15</v>
      </c>
      <c r="H898">
        <v>900</v>
      </c>
      <c r="I898" t="s">
        <v>15</v>
      </c>
      <c r="J898" t="s">
        <v>12</v>
      </c>
      <c r="K898" t="s">
        <v>23</v>
      </c>
    </row>
    <row r="899" spans="2:11" x14ac:dyDescent="0.25">
      <c r="B899">
        <v>895</v>
      </c>
      <c r="C899" s="1">
        <v>44929</v>
      </c>
      <c r="D899" t="s">
        <v>17</v>
      </c>
      <c r="E899" t="s">
        <v>18</v>
      </c>
      <c r="F899">
        <v>25</v>
      </c>
      <c r="G899">
        <v>11</v>
      </c>
      <c r="H899">
        <v>275</v>
      </c>
      <c r="I899" t="s">
        <v>15</v>
      </c>
      <c r="J899" t="s">
        <v>12</v>
      </c>
      <c r="K899" t="s">
        <v>16</v>
      </c>
    </row>
    <row r="900" spans="2:11" x14ac:dyDescent="0.25">
      <c r="B900">
        <v>896</v>
      </c>
      <c r="C900" s="1">
        <v>44864</v>
      </c>
      <c r="D900" t="s">
        <v>10</v>
      </c>
      <c r="E900" t="s">
        <v>11</v>
      </c>
      <c r="F900">
        <v>20</v>
      </c>
      <c r="G900">
        <v>13</v>
      </c>
      <c r="H900">
        <v>260</v>
      </c>
      <c r="I900" t="s">
        <v>15</v>
      </c>
      <c r="J900" t="s">
        <v>12</v>
      </c>
      <c r="K900" t="s">
        <v>13</v>
      </c>
    </row>
    <row r="901" spans="2:11" x14ac:dyDescent="0.25">
      <c r="B901">
        <v>897</v>
      </c>
      <c r="C901" s="1">
        <v>44795</v>
      </c>
      <c r="D901" t="s">
        <v>10</v>
      </c>
      <c r="E901" t="s">
        <v>11</v>
      </c>
      <c r="F901">
        <v>20</v>
      </c>
      <c r="G901">
        <v>6</v>
      </c>
      <c r="H901">
        <v>120</v>
      </c>
      <c r="I901" t="s">
        <v>19</v>
      </c>
      <c r="J901" t="s">
        <v>12</v>
      </c>
      <c r="K901" t="s">
        <v>23</v>
      </c>
    </row>
    <row r="902" spans="2:11" x14ac:dyDescent="0.25">
      <c r="B902">
        <v>898</v>
      </c>
      <c r="C902" s="1">
        <v>44987</v>
      </c>
      <c r="D902" t="s">
        <v>24</v>
      </c>
      <c r="E902" t="s">
        <v>11</v>
      </c>
      <c r="F902">
        <v>50</v>
      </c>
      <c r="G902">
        <v>8</v>
      </c>
      <c r="H902">
        <v>400</v>
      </c>
      <c r="I902" t="s">
        <v>15</v>
      </c>
      <c r="J902" t="s">
        <v>12</v>
      </c>
      <c r="K902" t="s">
        <v>16</v>
      </c>
    </row>
    <row r="903" spans="2:11" x14ac:dyDescent="0.25">
      <c r="B903">
        <v>899</v>
      </c>
      <c r="C903" s="1">
        <v>44950</v>
      </c>
      <c r="D903" t="s">
        <v>10</v>
      </c>
      <c r="E903" t="s">
        <v>11</v>
      </c>
      <c r="F903">
        <v>20</v>
      </c>
      <c r="G903">
        <v>7</v>
      </c>
      <c r="H903">
        <v>140</v>
      </c>
      <c r="I903" t="s">
        <v>15</v>
      </c>
      <c r="J903" t="s">
        <v>12</v>
      </c>
      <c r="K903" t="s">
        <v>26</v>
      </c>
    </row>
    <row r="904" spans="2:11" x14ac:dyDescent="0.25">
      <c r="B904">
        <v>900</v>
      </c>
      <c r="C904" s="1">
        <v>44902</v>
      </c>
      <c r="D904" t="s">
        <v>17</v>
      </c>
      <c r="E904" t="s">
        <v>18</v>
      </c>
      <c r="F904">
        <v>25</v>
      </c>
      <c r="G904">
        <v>9</v>
      </c>
      <c r="H904">
        <v>225</v>
      </c>
      <c r="I904" t="s">
        <v>19</v>
      </c>
      <c r="J904" t="s">
        <v>12</v>
      </c>
      <c r="K904" t="s">
        <v>16</v>
      </c>
    </row>
    <row r="905" spans="2:11" x14ac:dyDescent="0.25">
      <c r="B905">
        <v>901</v>
      </c>
      <c r="C905" s="1">
        <v>44919</v>
      </c>
      <c r="D905" t="s">
        <v>14</v>
      </c>
      <c r="E905" t="s">
        <v>11</v>
      </c>
      <c r="F905">
        <v>20</v>
      </c>
      <c r="G905">
        <v>7</v>
      </c>
      <c r="H905">
        <v>140</v>
      </c>
      <c r="I905" t="s">
        <v>19</v>
      </c>
      <c r="J905" t="s">
        <v>22</v>
      </c>
      <c r="K905" t="s">
        <v>23</v>
      </c>
    </row>
    <row r="906" spans="2:11" x14ac:dyDescent="0.25">
      <c r="B906">
        <v>902</v>
      </c>
      <c r="C906" s="1">
        <v>44888</v>
      </c>
      <c r="D906" t="s">
        <v>24</v>
      </c>
      <c r="E906" t="s">
        <v>11</v>
      </c>
      <c r="F906">
        <v>50</v>
      </c>
      <c r="G906">
        <v>4</v>
      </c>
      <c r="H906">
        <v>200</v>
      </c>
      <c r="I906" t="s">
        <v>19</v>
      </c>
      <c r="J906" t="s">
        <v>12</v>
      </c>
      <c r="K906" t="s">
        <v>16</v>
      </c>
    </row>
    <row r="907" spans="2:11" x14ac:dyDescent="0.25">
      <c r="B907">
        <v>903</v>
      </c>
      <c r="C907" s="1">
        <v>44927</v>
      </c>
      <c r="D907" t="s">
        <v>10</v>
      </c>
      <c r="E907" t="s">
        <v>11</v>
      </c>
      <c r="F907">
        <v>20</v>
      </c>
      <c r="G907">
        <v>15</v>
      </c>
      <c r="H907">
        <v>300</v>
      </c>
      <c r="I907" t="s">
        <v>19</v>
      </c>
      <c r="J907" t="s">
        <v>12</v>
      </c>
      <c r="K907" t="s">
        <v>13</v>
      </c>
    </row>
    <row r="908" spans="2:11" x14ac:dyDescent="0.25">
      <c r="B908">
        <v>904</v>
      </c>
      <c r="C908" s="1">
        <v>44997</v>
      </c>
      <c r="D908" t="s">
        <v>10</v>
      </c>
      <c r="E908" t="s">
        <v>11</v>
      </c>
      <c r="F908">
        <v>20</v>
      </c>
      <c r="G908">
        <v>4</v>
      </c>
      <c r="H908">
        <v>80</v>
      </c>
      <c r="I908" t="s">
        <v>15</v>
      </c>
      <c r="J908" t="s">
        <v>22</v>
      </c>
      <c r="K908" t="s">
        <v>26</v>
      </c>
    </row>
    <row r="909" spans="2:11" x14ac:dyDescent="0.25">
      <c r="B909">
        <v>905</v>
      </c>
      <c r="C909" s="1">
        <v>44908</v>
      </c>
      <c r="D909" t="s">
        <v>24</v>
      </c>
      <c r="E909" t="s">
        <v>11</v>
      </c>
      <c r="F909">
        <v>50</v>
      </c>
      <c r="G909">
        <v>15</v>
      </c>
      <c r="H909">
        <v>750</v>
      </c>
      <c r="I909" t="s">
        <v>15</v>
      </c>
      <c r="J909" t="s">
        <v>22</v>
      </c>
      <c r="K909" t="s">
        <v>26</v>
      </c>
    </row>
    <row r="910" spans="2:11" x14ac:dyDescent="0.25">
      <c r="B910">
        <v>906</v>
      </c>
      <c r="C910" s="1">
        <v>44655</v>
      </c>
      <c r="D910" t="s">
        <v>25</v>
      </c>
      <c r="E910" t="s">
        <v>11</v>
      </c>
      <c r="F910">
        <v>60</v>
      </c>
      <c r="G910">
        <v>15</v>
      </c>
      <c r="H910">
        <v>900</v>
      </c>
      <c r="I910" t="s">
        <v>15</v>
      </c>
      <c r="J910" t="s">
        <v>12</v>
      </c>
      <c r="K910" t="s">
        <v>16</v>
      </c>
    </row>
    <row r="911" spans="2:11" x14ac:dyDescent="0.25">
      <c r="B911">
        <v>907</v>
      </c>
      <c r="C911" s="1">
        <v>44853</v>
      </c>
      <c r="D911" t="s">
        <v>27</v>
      </c>
      <c r="E911" t="s">
        <v>18</v>
      </c>
      <c r="F911">
        <v>40</v>
      </c>
      <c r="G911">
        <v>4</v>
      </c>
      <c r="H911">
        <v>160</v>
      </c>
      <c r="J911" t="s">
        <v>22</v>
      </c>
      <c r="K911" t="s">
        <v>26</v>
      </c>
    </row>
    <row r="912" spans="2:11" x14ac:dyDescent="0.25">
      <c r="B912">
        <v>908</v>
      </c>
      <c r="C912" s="1">
        <v>44991</v>
      </c>
      <c r="D912" t="s">
        <v>25</v>
      </c>
      <c r="E912" t="s">
        <v>11</v>
      </c>
      <c r="F912">
        <v>60</v>
      </c>
      <c r="G912">
        <v>7</v>
      </c>
      <c r="H912">
        <v>420</v>
      </c>
      <c r="I912" t="s">
        <v>15</v>
      </c>
      <c r="J912" t="s">
        <v>22</v>
      </c>
      <c r="K912" t="s">
        <v>13</v>
      </c>
    </row>
    <row r="913" spans="2:11" x14ac:dyDescent="0.25">
      <c r="B913">
        <v>909</v>
      </c>
      <c r="C913" s="1">
        <v>44978</v>
      </c>
      <c r="D913" t="s">
        <v>27</v>
      </c>
      <c r="E913" t="s">
        <v>18</v>
      </c>
      <c r="F913">
        <v>40</v>
      </c>
      <c r="G913">
        <v>12</v>
      </c>
      <c r="H913">
        <v>480</v>
      </c>
      <c r="I913" t="s">
        <v>19</v>
      </c>
      <c r="J913" t="s">
        <v>22</v>
      </c>
      <c r="K913" t="s">
        <v>23</v>
      </c>
    </row>
    <row r="914" spans="2:11" x14ac:dyDescent="0.25">
      <c r="B914">
        <v>910</v>
      </c>
      <c r="C914" s="1">
        <v>44843</v>
      </c>
      <c r="D914" t="s">
        <v>21</v>
      </c>
      <c r="E914" t="s">
        <v>11</v>
      </c>
      <c r="F914">
        <v>20</v>
      </c>
      <c r="G914">
        <v>1</v>
      </c>
      <c r="H914">
        <v>20</v>
      </c>
      <c r="I914" t="s">
        <v>15</v>
      </c>
      <c r="J914" t="s">
        <v>22</v>
      </c>
      <c r="K914" t="s">
        <v>16</v>
      </c>
    </row>
    <row r="915" spans="2:11" x14ac:dyDescent="0.25">
      <c r="B915">
        <v>911</v>
      </c>
      <c r="C915" s="1">
        <v>44660</v>
      </c>
      <c r="D915" t="s">
        <v>25</v>
      </c>
      <c r="E915" t="s">
        <v>11</v>
      </c>
      <c r="F915">
        <v>60</v>
      </c>
      <c r="G915">
        <v>1</v>
      </c>
      <c r="H915">
        <v>60</v>
      </c>
      <c r="I915" t="s">
        <v>15</v>
      </c>
      <c r="J915" t="s">
        <v>12</v>
      </c>
      <c r="K915" t="s">
        <v>20</v>
      </c>
    </row>
    <row r="916" spans="2:11" x14ac:dyDescent="0.25">
      <c r="B916">
        <v>912</v>
      </c>
      <c r="C916" s="1">
        <v>44821</v>
      </c>
      <c r="D916" t="s">
        <v>10</v>
      </c>
      <c r="E916" t="s">
        <v>11</v>
      </c>
      <c r="F916">
        <v>20</v>
      </c>
      <c r="G916">
        <v>6</v>
      </c>
      <c r="H916">
        <v>120</v>
      </c>
      <c r="I916" t="s">
        <v>15</v>
      </c>
      <c r="J916" t="s">
        <v>12</v>
      </c>
      <c r="K916" t="s">
        <v>20</v>
      </c>
    </row>
    <row r="917" spans="2:11" x14ac:dyDescent="0.25">
      <c r="B917">
        <v>913</v>
      </c>
      <c r="C917" s="1">
        <v>44972</v>
      </c>
      <c r="D917" t="s">
        <v>24</v>
      </c>
      <c r="E917" t="s">
        <v>11</v>
      </c>
      <c r="F917">
        <v>50</v>
      </c>
      <c r="G917">
        <v>15</v>
      </c>
      <c r="H917">
        <v>750</v>
      </c>
      <c r="I917" t="s">
        <v>19</v>
      </c>
      <c r="J917" t="s">
        <v>12</v>
      </c>
      <c r="K917" t="s">
        <v>20</v>
      </c>
    </row>
    <row r="918" spans="2:11" x14ac:dyDescent="0.25">
      <c r="B918">
        <v>914</v>
      </c>
      <c r="C918" s="1">
        <v>44986</v>
      </c>
      <c r="D918" t="s">
        <v>25</v>
      </c>
      <c r="E918" t="s">
        <v>11</v>
      </c>
      <c r="F918">
        <v>60</v>
      </c>
      <c r="G918">
        <v>14</v>
      </c>
      <c r="H918">
        <v>840</v>
      </c>
      <c r="I918" t="s">
        <v>15</v>
      </c>
      <c r="J918" t="s">
        <v>12</v>
      </c>
      <c r="K918" t="s">
        <v>13</v>
      </c>
    </row>
    <row r="919" spans="2:11" x14ac:dyDescent="0.25">
      <c r="B919">
        <v>915</v>
      </c>
      <c r="C919" s="1">
        <v>44841</v>
      </c>
      <c r="D919" t="s">
        <v>27</v>
      </c>
      <c r="E919" t="s">
        <v>18</v>
      </c>
      <c r="F919">
        <v>40</v>
      </c>
      <c r="G919">
        <v>7</v>
      </c>
      <c r="H919">
        <v>280</v>
      </c>
      <c r="I919" t="s">
        <v>19</v>
      </c>
      <c r="J919" t="s">
        <v>12</v>
      </c>
      <c r="K919" t="s">
        <v>16</v>
      </c>
    </row>
    <row r="920" spans="2:11" x14ac:dyDescent="0.25">
      <c r="B920">
        <v>916</v>
      </c>
      <c r="C920" s="1">
        <v>44882</v>
      </c>
      <c r="D920" t="s">
        <v>27</v>
      </c>
      <c r="E920" t="s">
        <v>18</v>
      </c>
      <c r="F920">
        <v>40</v>
      </c>
      <c r="G920">
        <v>15</v>
      </c>
      <c r="H920">
        <v>600</v>
      </c>
      <c r="J920" t="s">
        <v>22</v>
      </c>
      <c r="K920" t="s">
        <v>16</v>
      </c>
    </row>
    <row r="921" spans="2:11" x14ac:dyDescent="0.25">
      <c r="B921">
        <v>917</v>
      </c>
      <c r="C921" s="1">
        <v>44696</v>
      </c>
      <c r="D921" t="s">
        <v>14</v>
      </c>
      <c r="E921" t="s">
        <v>11</v>
      </c>
      <c r="F921">
        <v>20</v>
      </c>
      <c r="G921">
        <v>15</v>
      </c>
      <c r="H921">
        <v>300</v>
      </c>
      <c r="I921" t="s">
        <v>19</v>
      </c>
      <c r="J921" t="s">
        <v>12</v>
      </c>
      <c r="K921" t="s">
        <v>20</v>
      </c>
    </row>
    <row r="922" spans="2:11" x14ac:dyDescent="0.25">
      <c r="B922">
        <v>918</v>
      </c>
      <c r="C922" s="1">
        <v>44877</v>
      </c>
      <c r="D922" t="s">
        <v>21</v>
      </c>
      <c r="E922" t="s">
        <v>11</v>
      </c>
      <c r="F922">
        <v>20</v>
      </c>
      <c r="G922">
        <v>6</v>
      </c>
      <c r="H922">
        <v>120</v>
      </c>
      <c r="I922" t="s">
        <v>15</v>
      </c>
      <c r="J922" t="s">
        <v>12</v>
      </c>
      <c r="K922" t="s">
        <v>20</v>
      </c>
    </row>
    <row r="923" spans="2:11" x14ac:dyDescent="0.25">
      <c r="B923">
        <v>919</v>
      </c>
      <c r="C923" s="1">
        <v>44929</v>
      </c>
      <c r="D923" t="s">
        <v>14</v>
      </c>
      <c r="E923" t="s">
        <v>11</v>
      </c>
      <c r="F923">
        <v>20</v>
      </c>
      <c r="G923">
        <v>8</v>
      </c>
      <c r="H923">
        <v>160</v>
      </c>
      <c r="I923" t="s">
        <v>19</v>
      </c>
      <c r="J923" t="s">
        <v>22</v>
      </c>
      <c r="K923" t="s">
        <v>20</v>
      </c>
    </row>
    <row r="924" spans="2:11" x14ac:dyDescent="0.25">
      <c r="B924">
        <v>920</v>
      </c>
      <c r="C924" s="1">
        <v>44754</v>
      </c>
      <c r="D924" t="s">
        <v>24</v>
      </c>
      <c r="E924" t="s">
        <v>11</v>
      </c>
      <c r="F924">
        <v>50</v>
      </c>
      <c r="G924">
        <v>13</v>
      </c>
      <c r="H924">
        <v>650</v>
      </c>
      <c r="I924" t="s">
        <v>19</v>
      </c>
      <c r="J924" t="s">
        <v>12</v>
      </c>
      <c r="K924" t="s">
        <v>20</v>
      </c>
    </row>
    <row r="925" spans="2:11" x14ac:dyDescent="0.25">
      <c r="B925">
        <v>921</v>
      </c>
      <c r="C925" s="1">
        <v>44825</v>
      </c>
      <c r="D925" t="s">
        <v>14</v>
      </c>
      <c r="E925" t="s">
        <v>11</v>
      </c>
      <c r="F925">
        <v>20</v>
      </c>
      <c r="G925">
        <v>14</v>
      </c>
      <c r="H925">
        <v>280</v>
      </c>
      <c r="I925" t="s">
        <v>15</v>
      </c>
      <c r="J925" t="s">
        <v>12</v>
      </c>
      <c r="K925" t="s">
        <v>26</v>
      </c>
    </row>
    <row r="926" spans="2:11" x14ac:dyDescent="0.25">
      <c r="B926">
        <v>922</v>
      </c>
      <c r="C926" s="1">
        <v>44725</v>
      </c>
      <c r="D926" t="s">
        <v>24</v>
      </c>
      <c r="E926" t="s">
        <v>11</v>
      </c>
      <c r="F926">
        <v>50</v>
      </c>
      <c r="G926">
        <v>5</v>
      </c>
      <c r="H926">
        <v>250</v>
      </c>
      <c r="I926" t="s">
        <v>19</v>
      </c>
      <c r="J926" t="s">
        <v>22</v>
      </c>
      <c r="K926" t="s">
        <v>20</v>
      </c>
    </row>
    <row r="927" spans="2:11" x14ac:dyDescent="0.25">
      <c r="B927">
        <v>923</v>
      </c>
      <c r="C927" s="1">
        <v>44711</v>
      </c>
      <c r="D927" t="s">
        <v>27</v>
      </c>
      <c r="E927" t="s">
        <v>18</v>
      </c>
      <c r="F927">
        <v>40</v>
      </c>
      <c r="G927">
        <v>3</v>
      </c>
      <c r="H927">
        <v>120</v>
      </c>
      <c r="I927" t="s">
        <v>19</v>
      </c>
      <c r="J927" t="s">
        <v>12</v>
      </c>
      <c r="K927" t="s">
        <v>23</v>
      </c>
    </row>
    <row r="928" spans="2:11" x14ac:dyDescent="0.25">
      <c r="B928">
        <v>924</v>
      </c>
      <c r="C928" s="1">
        <v>44912</v>
      </c>
      <c r="D928" t="s">
        <v>21</v>
      </c>
      <c r="E928" t="s">
        <v>11</v>
      </c>
      <c r="F928">
        <v>20</v>
      </c>
      <c r="G928">
        <v>14</v>
      </c>
      <c r="H928">
        <v>280</v>
      </c>
      <c r="I928" t="s">
        <v>15</v>
      </c>
      <c r="J928" t="s">
        <v>12</v>
      </c>
      <c r="K928" t="s">
        <v>16</v>
      </c>
    </row>
    <row r="929" spans="2:11" x14ac:dyDescent="0.25">
      <c r="B929">
        <v>925</v>
      </c>
      <c r="C929" s="1">
        <v>44661</v>
      </c>
      <c r="D929" t="s">
        <v>24</v>
      </c>
      <c r="E929" t="s">
        <v>11</v>
      </c>
      <c r="F929">
        <v>50</v>
      </c>
      <c r="G929">
        <v>4</v>
      </c>
      <c r="H929">
        <v>200</v>
      </c>
      <c r="I929" t="s">
        <v>19</v>
      </c>
      <c r="J929" t="s">
        <v>22</v>
      </c>
      <c r="K929" t="s">
        <v>16</v>
      </c>
    </row>
    <row r="930" spans="2:11" x14ac:dyDescent="0.25">
      <c r="B930">
        <v>926</v>
      </c>
      <c r="C930" s="1">
        <v>44984</v>
      </c>
      <c r="D930" t="s">
        <v>24</v>
      </c>
      <c r="E930" t="s">
        <v>11</v>
      </c>
      <c r="F930">
        <v>50</v>
      </c>
      <c r="G930">
        <v>15</v>
      </c>
      <c r="H930">
        <v>750</v>
      </c>
      <c r="I930" t="s">
        <v>15</v>
      </c>
      <c r="J930" t="s">
        <v>22</v>
      </c>
      <c r="K930" t="s">
        <v>16</v>
      </c>
    </row>
    <row r="931" spans="2:11" x14ac:dyDescent="0.25">
      <c r="B931">
        <v>927</v>
      </c>
      <c r="C931" s="1">
        <v>44897</v>
      </c>
      <c r="D931" t="s">
        <v>27</v>
      </c>
      <c r="E931" t="s">
        <v>18</v>
      </c>
      <c r="F931">
        <v>40</v>
      </c>
      <c r="G931">
        <v>6</v>
      </c>
      <c r="H931">
        <v>240</v>
      </c>
      <c r="J931" t="s">
        <v>22</v>
      </c>
      <c r="K931" t="s">
        <v>20</v>
      </c>
    </row>
    <row r="932" spans="2:11" x14ac:dyDescent="0.25">
      <c r="B932">
        <v>928</v>
      </c>
      <c r="C932" s="1">
        <v>44658</v>
      </c>
      <c r="D932" t="s">
        <v>25</v>
      </c>
      <c r="E932" t="s">
        <v>11</v>
      </c>
      <c r="F932">
        <v>60</v>
      </c>
      <c r="G932">
        <v>11</v>
      </c>
      <c r="H932">
        <v>660</v>
      </c>
      <c r="I932" t="s">
        <v>19</v>
      </c>
      <c r="J932" t="s">
        <v>12</v>
      </c>
      <c r="K932" t="s">
        <v>20</v>
      </c>
    </row>
    <row r="933" spans="2:11" x14ac:dyDescent="0.25">
      <c r="B933">
        <v>929</v>
      </c>
      <c r="C933" s="1">
        <v>44718</v>
      </c>
      <c r="D933" t="s">
        <v>24</v>
      </c>
      <c r="E933" t="s">
        <v>11</v>
      </c>
      <c r="F933">
        <v>50</v>
      </c>
      <c r="G933">
        <v>9</v>
      </c>
      <c r="H933">
        <v>450</v>
      </c>
      <c r="I933" t="s">
        <v>19</v>
      </c>
      <c r="J933" t="s">
        <v>22</v>
      </c>
      <c r="K933" t="s">
        <v>13</v>
      </c>
    </row>
    <row r="934" spans="2:11" x14ac:dyDescent="0.25">
      <c r="B934">
        <v>930</v>
      </c>
      <c r="C934" s="1">
        <v>44892</v>
      </c>
      <c r="D934" t="s">
        <v>17</v>
      </c>
      <c r="E934" t="s">
        <v>18</v>
      </c>
      <c r="F934">
        <v>25</v>
      </c>
      <c r="G934">
        <v>10</v>
      </c>
      <c r="H934">
        <v>250</v>
      </c>
      <c r="I934" t="s">
        <v>19</v>
      </c>
      <c r="J934" t="s">
        <v>12</v>
      </c>
      <c r="K934" t="s">
        <v>13</v>
      </c>
    </row>
    <row r="935" spans="2:11" x14ac:dyDescent="0.25">
      <c r="B935">
        <v>931</v>
      </c>
      <c r="C935" s="1">
        <v>44738</v>
      </c>
      <c r="D935" t="s">
        <v>10</v>
      </c>
      <c r="E935" t="s">
        <v>11</v>
      </c>
      <c r="F935">
        <v>20</v>
      </c>
      <c r="G935">
        <v>15</v>
      </c>
      <c r="H935">
        <v>300</v>
      </c>
      <c r="I935" t="s">
        <v>15</v>
      </c>
      <c r="J935" t="s">
        <v>12</v>
      </c>
      <c r="K935" t="s">
        <v>16</v>
      </c>
    </row>
    <row r="936" spans="2:11" x14ac:dyDescent="0.25">
      <c r="B936">
        <v>932</v>
      </c>
      <c r="C936" s="1">
        <v>44852</v>
      </c>
      <c r="D936" t="s">
        <v>25</v>
      </c>
      <c r="E936" t="s">
        <v>11</v>
      </c>
      <c r="F936">
        <v>60</v>
      </c>
      <c r="G936">
        <v>9</v>
      </c>
      <c r="H936">
        <v>540</v>
      </c>
      <c r="I936" t="s">
        <v>19</v>
      </c>
      <c r="J936" t="s">
        <v>12</v>
      </c>
      <c r="K936" t="s">
        <v>16</v>
      </c>
    </row>
    <row r="937" spans="2:11" x14ac:dyDescent="0.25">
      <c r="B937">
        <v>933</v>
      </c>
      <c r="C937" s="1">
        <v>44947</v>
      </c>
      <c r="D937" t="s">
        <v>17</v>
      </c>
      <c r="E937" t="s">
        <v>18</v>
      </c>
      <c r="F937">
        <v>25</v>
      </c>
      <c r="G937">
        <v>15</v>
      </c>
      <c r="H937">
        <v>375</v>
      </c>
      <c r="I937" t="s">
        <v>19</v>
      </c>
      <c r="J937" t="s">
        <v>22</v>
      </c>
      <c r="K937" t="s">
        <v>16</v>
      </c>
    </row>
    <row r="938" spans="2:11" x14ac:dyDescent="0.25">
      <c r="B938">
        <v>934</v>
      </c>
      <c r="C938" s="1">
        <v>44823</v>
      </c>
      <c r="D938" t="s">
        <v>27</v>
      </c>
      <c r="E938" t="s">
        <v>18</v>
      </c>
      <c r="F938">
        <v>40</v>
      </c>
      <c r="G938">
        <v>4</v>
      </c>
      <c r="H938">
        <v>160</v>
      </c>
      <c r="I938" t="s">
        <v>15</v>
      </c>
      <c r="J938" t="s">
        <v>22</v>
      </c>
      <c r="K938" t="s">
        <v>16</v>
      </c>
    </row>
    <row r="939" spans="2:11" x14ac:dyDescent="0.25">
      <c r="B939">
        <v>935</v>
      </c>
      <c r="C939" s="1">
        <v>44974</v>
      </c>
      <c r="D939" t="s">
        <v>25</v>
      </c>
      <c r="E939" t="s">
        <v>11</v>
      </c>
      <c r="F939">
        <v>60</v>
      </c>
      <c r="G939">
        <v>12</v>
      </c>
      <c r="H939">
        <v>720</v>
      </c>
      <c r="I939" t="s">
        <v>15</v>
      </c>
      <c r="J939" t="s">
        <v>12</v>
      </c>
      <c r="K939" t="s">
        <v>26</v>
      </c>
    </row>
    <row r="940" spans="2:11" x14ac:dyDescent="0.25">
      <c r="B940">
        <v>936</v>
      </c>
      <c r="C940" s="1">
        <v>44783</v>
      </c>
      <c r="D940" t="s">
        <v>21</v>
      </c>
      <c r="E940" t="s">
        <v>11</v>
      </c>
      <c r="F940">
        <v>20</v>
      </c>
      <c r="G940">
        <v>2</v>
      </c>
      <c r="H940">
        <v>40</v>
      </c>
      <c r="J940" t="s">
        <v>12</v>
      </c>
      <c r="K940" t="s">
        <v>26</v>
      </c>
    </row>
    <row r="941" spans="2:11" x14ac:dyDescent="0.25">
      <c r="B941">
        <v>937</v>
      </c>
      <c r="C941" s="1">
        <v>44734</v>
      </c>
      <c r="D941" t="s">
        <v>21</v>
      </c>
      <c r="E941" t="s">
        <v>11</v>
      </c>
      <c r="F941">
        <v>20</v>
      </c>
      <c r="G941">
        <v>4</v>
      </c>
      <c r="H941">
        <v>80</v>
      </c>
      <c r="I941" t="s">
        <v>15</v>
      </c>
      <c r="J941" t="s">
        <v>12</v>
      </c>
      <c r="K941" t="s">
        <v>13</v>
      </c>
    </row>
    <row r="942" spans="2:11" x14ac:dyDescent="0.25">
      <c r="B942">
        <v>938</v>
      </c>
      <c r="C942" s="1">
        <v>44783</v>
      </c>
      <c r="D942" t="s">
        <v>17</v>
      </c>
      <c r="E942" t="s">
        <v>18</v>
      </c>
      <c r="F942">
        <v>25</v>
      </c>
      <c r="G942">
        <v>14</v>
      </c>
      <c r="H942">
        <v>350</v>
      </c>
      <c r="I942" t="s">
        <v>15</v>
      </c>
      <c r="J942" t="s">
        <v>12</v>
      </c>
      <c r="K942" t="s">
        <v>20</v>
      </c>
    </row>
    <row r="943" spans="2:11" x14ac:dyDescent="0.25">
      <c r="B943">
        <v>939</v>
      </c>
      <c r="C943" s="1">
        <v>44976</v>
      </c>
      <c r="D943" t="s">
        <v>14</v>
      </c>
      <c r="E943" t="s">
        <v>11</v>
      </c>
      <c r="F943">
        <v>20</v>
      </c>
      <c r="G943">
        <v>15</v>
      </c>
      <c r="H943">
        <v>300</v>
      </c>
      <c r="I943" t="s">
        <v>19</v>
      </c>
      <c r="J943" t="s">
        <v>12</v>
      </c>
      <c r="K943" t="s">
        <v>26</v>
      </c>
    </row>
    <row r="944" spans="2:11" x14ac:dyDescent="0.25">
      <c r="B944">
        <v>940</v>
      </c>
      <c r="C944" s="1">
        <v>44964</v>
      </c>
      <c r="D944" t="s">
        <v>17</v>
      </c>
      <c r="E944" t="s">
        <v>18</v>
      </c>
      <c r="F944">
        <v>25</v>
      </c>
      <c r="G944">
        <v>14</v>
      </c>
      <c r="H944">
        <v>350</v>
      </c>
      <c r="I944" t="s">
        <v>19</v>
      </c>
      <c r="J944" t="s">
        <v>22</v>
      </c>
      <c r="K944" t="s">
        <v>26</v>
      </c>
    </row>
    <row r="945" spans="2:11" x14ac:dyDescent="0.25">
      <c r="B945">
        <v>941</v>
      </c>
      <c r="C945" s="1">
        <v>44967</v>
      </c>
      <c r="D945" t="s">
        <v>27</v>
      </c>
      <c r="E945" t="s">
        <v>18</v>
      </c>
      <c r="F945">
        <v>40</v>
      </c>
      <c r="G945">
        <v>10</v>
      </c>
      <c r="H945">
        <v>400</v>
      </c>
      <c r="I945" t="s">
        <v>19</v>
      </c>
      <c r="J945" t="s">
        <v>22</v>
      </c>
      <c r="K945" t="s">
        <v>23</v>
      </c>
    </row>
    <row r="946" spans="2:11" x14ac:dyDescent="0.25">
      <c r="B946">
        <v>942</v>
      </c>
      <c r="C946" s="1">
        <v>44762</v>
      </c>
      <c r="D946" t="s">
        <v>24</v>
      </c>
      <c r="E946" t="s">
        <v>11</v>
      </c>
      <c r="F946">
        <v>50</v>
      </c>
      <c r="G946">
        <v>6</v>
      </c>
      <c r="H946">
        <v>300</v>
      </c>
      <c r="I946" t="s">
        <v>15</v>
      </c>
      <c r="J946" t="s">
        <v>12</v>
      </c>
      <c r="K946" t="s">
        <v>13</v>
      </c>
    </row>
    <row r="947" spans="2:11" x14ac:dyDescent="0.25">
      <c r="B947">
        <v>943</v>
      </c>
      <c r="C947" s="1">
        <v>44742</v>
      </c>
      <c r="D947" t="s">
        <v>14</v>
      </c>
      <c r="E947" t="s">
        <v>11</v>
      </c>
      <c r="F947">
        <v>20</v>
      </c>
      <c r="G947">
        <v>6</v>
      </c>
      <c r="H947">
        <v>120</v>
      </c>
      <c r="I947" t="s">
        <v>15</v>
      </c>
      <c r="J947" t="s">
        <v>22</v>
      </c>
      <c r="K947" t="s">
        <v>13</v>
      </c>
    </row>
    <row r="948" spans="2:11" x14ac:dyDescent="0.25">
      <c r="B948">
        <v>944</v>
      </c>
      <c r="C948" s="1">
        <v>44693</v>
      </c>
      <c r="D948" t="s">
        <v>10</v>
      </c>
      <c r="E948" t="s">
        <v>11</v>
      </c>
      <c r="F948">
        <v>20</v>
      </c>
      <c r="G948">
        <v>2</v>
      </c>
      <c r="H948">
        <v>40</v>
      </c>
      <c r="I948" t="s">
        <v>15</v>
      </c>
      <c r="J948" t="s">
        <v>12</v>
      </c>
      <c r="K948" t="s">
        <v>26</v>
      </c>
    </row>
    <row r="949" spans="2:11" x14ac:dyDescent="0.25">
      <c r="B949">
        <v>945</v>
      </c>
      <c r="C949" s="1">
        <v>44696</v>
      </c>
      <c r="D949" t="s">
        <v>27</v>
      </c>
      <c r="E949" t="s">
        <v>18</v>
      </c>
      <c r="F949">
        <v>40</v>
      </c>
      <c r="G949">
        <v>2</v>
      </c>
      <c r="H949">
        <v>80</v>
      </c>
      <c r="I949" t="s">
        <v>19</v>
      </c>
      <c r="J949" t="s">
        <v>22</v>
      </c>
      <c r="K949" t="s">
        <v>16</v>
      </c>
    </row>
    <row r="950" spans="2:11" x14ac:dyDescent="0.25">
      <c r="B950">
        <v>946</v>
      </c>
      <c r="C950" s="1">
        <v>44978</v>
      </c>
      <c r="D950" t="s">
        <v>25</v>
      </c>
      <c r="E950" t="s">
        <v>11</v>
      </c>
      <c r="F950">
        <v>60</v>
      </c>
      <c r="G950">
        <v>8</v>
      </c>
      <c r="H950">
        <v>480</v>
      </c>
      <c r="I950" t="s">
        <v>15</v>
      </c>
      <c r="J950" t="s">
        <v>12</v>
      </c>
      <c r="K950" t="s">
        <v>26</v>
      </c>
    </row>
    <row r="951" spans="2:11" x14ac:dyDescent="0.25">
      <c r="B951">
        <v>947</v>
      </c>
      <c r="C951" s="1">
        <v>44789</v>
      </c>
      <c r="D951" t="s">
        <v>10</v>
      </c>
      <c r="E951" t="s">
        <v>11</v>
      </c>
      <c r="F951">
        <v>20</v>
      </c>
      <c r="G951">
        <v>11</v>
      </c>
      <c r="H951">
        <v>220</v>
      </c>
      <c r="I951" t="s">
        <v>19</v>
      </c>
      <c r="J951" t="s">
        <v>12</v>
      </c>
      <c r="K951" t="s">
        <v>13</v>
      </c>
    </row>
    <row r="952" spans="2:11" x14ac:dyDescent="0.25">
      <c r="B952">
        <v>948</v>
      </c>
      <c r="C952" s="1">
        <v>44942</v>
      </c>
      <c r="D952" t="s">
        <v>25</v>
      </c>
      <c r="E952" t="s">
        <v>11</v>
      </c>
      <c r="F952">
        <v>60</v>
      </c>
      <c r="G952">
        <v>10</v>
      </c>
      <c r="H952">
        <v>600</v>
      </c>
      <c r="I952" t="s">
        <v>19</v>
      </c>
      <c r="J952" t="s">
        <v>12</v>
      </c>
      <c r="K952" t="s">
        <v>20</v>
      </c>
    </row>
    <row r="953" spans="2:11" x14ac:dyDescent="0.25">
      <c r="B953">
        <v>949</v>
      </c>
      <c r="C953" s="1">
        <v>44933</v>
      </c>
      <c r="D953" t="s">
        <v>21</v>
      </c>
      <c r="E953" t="s">
        <v>11</v>
      </c>
      <c r="F953">
        <v>20</v>
      </c>
      <c r="G953">
        <v>1</v>
      </c>
      <c r="H953">
        <v>20</v>
      </c>
      <c r="I953" t="s">
        <v>15</v>
      </c>
      <c r="J953" t="s">
        <v>22</v>
      </c>
      <c r="K953" t="s">
        <v>20</v>
      </c>
    </row>
    <row r="954" spans="2:11" x14ac:dyDescent="0.25">
      <c r="B954">
        <v>950</v>
      </c>
      <c r="C954" s="1">
        <v>44829</v>
      </c>
      <c r="D954" t="s">
        <v>24</v>
      </c>
      <c r="E954" t="s">
        <v>11</v>
      </c>
      <c r="F954">
        <v>50</v>
      </c>
      <c r="G954">
        <v>6</v>
      </c>
      <c r="H954">
        <v>300</v>
      </c>
      <c r="I954" t="s">
        <v>19</v>
      </c>
      <c r="J954" t="s">
        <v>22</v>
      </c>
      <c r="K954" t="s">
        <v>20</v>
      </c>
    </row>
    <row r="955" spans="2:11" x14ac:dyDescent="0.25">
      <c r="B955">
        <v>951</v>
      </c>
      <c r="C955" s="1">
        <v>44876</v>
      </c>
      <c r="D955" t="s">
        <v>21</v>
      </c>
      <c r="E955" t="s">
        <v>11</v>
      </c>
      <c r="F955">
        <v>20</v>
      </c>
      <c r="G955">
        <v>11</v>
      </c>
      <c r="H955">
        <v>220</v>
      </c>
      <c r="I955" t="s">
        <v>15</v>
      </c>
      <c r="J955" t="s">
        <v>22</v>
      </c>
      <c r="K955" t="s">
        <v>16</v>
      </c>
    </row>
    <row r="956" spans="2:11" x14ac:dyDescent="0.25">
      <c r="B956">
        <v>952</v>
      </c>
      <c r="C956" s="1">
        <v>44828</v>
      </c>
      <c r="D956" t="s">
        <v>10</v>
      </c>
      <c r="E956" t="s">
        <v>11</v>
      </c>
      <c r="F956">
        <v>20</v>
      </c>
      <c r="G956">
        <v>14</v>
      </c>
      <c r="H956">
        <v>280</v>
      </c>
      <c r="I956" t="s">
        <v>15</v>
      </c>
      <c r="J956" t="s">
        <v>22</v>
      </c>
      <c r="K956" t="s">
        <v>20</v>
      </c>
    </row>
    <row r="957" spans="2:11" x14ac:dyDescent="0.25">
      <c r="B957">
        <v>953</v>
      </c>
      <c r="C957" s="1">
        <v>44875</v>
      </c>
      <c r="D957" t="s">
        <v>25</v>
      </c>
      <c r="E957" t="s">
        <v>11</v>
      </c>
      <c r="F957">
        <v>60</v>
      </c>
      <c r="G957">
        <v>2</v>
      </c>
      <c r="H957">
        <v>120</v>
      </c>
      <c r="I957" t="s">
        <v>19</v>
      </c>
      <c r="J957" t="s">
        <v>22</v>
      </c>
      <c r="K957" t="s">
        <v>16</v>
      </c>
    </row>
    <row r="958" spans="2:11" x14ac:dyDescent="0.25">
      <c r="B958">
        <v>954</v>
      </c>
      <c r="C958" s="1">
        <v>44957</v>
      </c>
      <c r="D958" t="s">
        <v>10</v>
      </c>
      <c r="E958" t="s">
        <v>11</v>
      </c>
      <c r="F958">
        <v>20</v>
      </c>
      <c r="G958">
        <v>3</v>
      </c>
      <c r="H958">
        <v>60</v>
      </c>
      <c r="I958" t="s">
        <v>15</v>
      </c>
      <c r="J958" t="s">
        <v>22</v>
      </c>
      <c r="K958" t="s">
        <v>26</v>
      </c>
    </row>
    <row r="959" spans="2:11" x14ac:dyDescent="0.25">
      <c r="B959">
        <v>955</v>
      </c>
      <c r="C959" s="1">
        <v>44953</v>
      </c>
      <c r="D959" t="s">
        <v>17</v>
      </c>
      <c r="E959" t="s">
        <v>18</v>
      </c>
      <c r="F959">
        <v>25</v>
      </c>
      <c r="G959">
        <v>7</v>
      </c>
      <c r="H959">
        <v>175</v>
      </c>
      <c r="I959" t="s">
        <v>19</v>
      </c>
      <c r="J959" t="s">
        <v>12</v>
      </c>
      <c r="K959" t="s">
        <v>16</v>
      </c>
    </row>
    <row r="960" spans="2:11" x14ac:dyDescent="0.25">
      <c r="B960">
        <v>956</v>
      </c>
      <c r="C960" s="1">
        <v>44681</v>
      </c>
      <c r="D960" t="s">
        <v>24</v>
      </c>
      <c r="E960" t="s">
        <v>11</v>
      </c>
      <c r="F960">
        <v>50</v>
      </c>
      <c r="G960">
        <v>13</v>
      </c>
      <c r="H960">
        <v>650</v>
      </c>
      <c r="I960" t="s">
        <v>19</v>
      </c>
      <c r="J960" t="s">
        <v>12</v>
      </c>
      <c r="K960" t="s">
        <v>23</v>
      </c>
    </row>
    <row r="961" spans="2:11" x14ac:dyDescent="0.25">
      <c r="B961">
        <v>957</v>
      </c>
      <c r="C961" s="1">
        <v>44965</v>
      </c>
      <c r="D961" t="s">
        <v>21</v>
      </c>
      <c r="E961" t="s">
        <v>11</v>
      </c>
      <c r="F961">
        <v>20</v>
      </c>
      <c r="G961">
        <v>3</v>
      </c>
      <c r="H961">
        <v>60</v>
      </c>
      <c r="I961" t="s">
        <v>19</v>
      </c>
      <c r="J961" t="s">
        <v>22</v>
      </c>
      <c r="K961" t="s">
        <v>26</v>
      </c>
    </row>
    <row r="962" spans="2:11" x14ac:dyDescent="0.25">
      <c r="B962">
        <v>958</v>
      </c>
      <c r="C962" s="1">
        <v>44703</v>
      </c>
      <c r="D962" t="s">
        <v>25</v>
      </c>
      <c r="E962" t="s">
        <v>11</v>
      </c>
      <c r="F962">
        <v>60</v>
      </c>
      <c r="G962">
        <v>11</v>
      </c>
      <c r="H962">
        <v>660</v>
      </c>
      <c r="I962" t="s">
        <v>19</v>
      </c>
      <c r="J962" t="s">
        <v>22</v>
      </c>
      <c r="K962" t="s">
        <v>13</v>
      </c>
    </row>
    <row r="963" spans="2:11" x14ac:dyDescent="0.25">
      <c r="B963">
        <v>959</v>
      </c>
      <c r="C963" s="1">
        <v>44893</v>
      </c>
      <c r="D963" t="s">
        <v>14</v>
      </c>
      <c r="E963" t="s">
        <v>11</v>
      </c>
      <c r="F963">
        <v>20</v>
      </c>
      <c r="G963">
        <v>8</v>
      </c>
      <c r="H963">
        <v>160</v>
      </c>
      <c r="I963" t="s">
        <v>19</v>
      </c>
      <c r="J963" t="s">
        <v>22</v>
      </c>
      <c r="K963" t="s">
        <v>26</v>
      </c>
    </row>
    <row r="964" spans="2:11" x14ac:dyDescent="0.25">
      <c r="B964">
        <v>960</v>
      </c>
      <c r="C964" s="1">
        <v>44785</v>
      </c>
      <c r="D964" t="s">
        <v>17</v>
      </c>
      <c r="E964" t="s">
        <v>18</v>
      </c>
      <c r="F964">
        <v>25</v>
      </c>
      <c r="G964">
        <v>15</v>
      </c>
      <c r="H964">
        <v>375</v>
      </c>
      <c r="I964" t="s">
        <v>19</v>
      </c>
      <c r="J964" t="s">
        <v>22</v>
      </c>
      <c r="K964" t="s">
        <v>20</v>
      </c>
    </row>
    <row r="965" spans="2:11" x14ac:dyDescent="0.25">
      <c r="B965">
        <v>961</v>
      </c>
      <c r="C965" s="1">
        <v>44999</v>
      </c>
      <c r="D965" t="s">
        <v>24</v>
      </c>
      <c r="E965" t="s">
        <v>11</v>
      </c>
      <c r="F965">
        <v>50</v>
      </c>
      <c r="G965">
        <v>13</v>
      </c>
      <c r="H965">
        <v>650</v>
      </c>
      <c r="I965" t="s">
        <v>15</v>
      </c>
      <c r="J965" t="s">
        <v>12</v>
      </c>
      <c r="K965" t="s">
        <v>13</v>
      </c>
    </row>
    <row r="966" spans="2:11" x14ac:dyDescent="0.25">
      <c r="B966">
        <v>962</v>
      </c>
      <c r="C966" s="1">
        <v>44699</v>
      </c>
      <c r="D966" t="s">
        <v>24</v>
      </c>
      <c r="E966" t="s">
        <v>11</v>
      </c>
      <c r="F966">
        <v>50</v>
      </c>
      <c r="G966">
        <v>13</v>
      </c>
      <c r="H966">
        <v>650</v>
      </c>
      <c r="I966" t="s">
        <v>19</v>
      </c>
      <c r="J966" t="s">
        <v>22</v>
      </c>
      <c r="K966" t="s">
        <v>16</v>
      </c>
    </row>
    <row r="967" spans="2:11" x14ac:dyDescent="0.25">
      <c r="B967">
        <v>963</v>
      </c>
      <c r="C967" s="1">
        <v>44839</v>
      </c>
      <c r="D967" t="s">
        <v>14</v>
      </c>
      <c r="E967" t="s">
        <v>11</v>
      </c>
      <c r="F967">
        <v>20</v>
      </c>
      <c r="G967">
        <v>6</v>
      </c>
      <c r="H967">
        <v>120</v>
      </c>
      <c r="I967" t="s">
        <v>15</v>
      </c>
      <c r="J967" t="s">
        <v>22</v>
      </c>
      <c r="K967" t="s">
        <v>23</v>
      </c>
    </row>
    <row r="968" spans="2:11" x14ac:dyDescent="0.25">
      <c r="B968">
        <v>964</v>
      </c>
      <c r="C968" s="1">
        <v>44688</v>
      </c>
      <c r="D968" t="s">
        <v>27</v>
      </c>
      <c r="E968" t="s">
        <v>18</v>
      </c>
      <c r="F968">
        <v>40</v>
      </c>
      <c r="G968">
        <v>8</v>
      </c>
      <c r="H968">
        <v>320</v>
      </c>
      <c r="I968" t="s">
        <v>15</v>
      </c>
      <c r="J968" t="s">
        <v>12</v>
      </c>
      <c r="K968" t="s">
        <v>20</v>
      </c>
    </row>
    <row r="969" spans="2:11" x14ac:dyDescent="0.25">
      <c r="B969">
        <v>965</v>
      </c>
      <c r="C969" s="1">
        <v>44842</v>
      </c>
      <c r="D969" t="s">
        <v>24</v>
      </c>
      <c r="E969" t="s">
        <v>11</v>
      </c>
      <c r="F969">
        <v>50</v>
      </c>
      <c r="G969">
        <v>5</v>
      </c>
      <c r="H969">
        <v>250</v>
      </c>
      <c r="I969" t="s">
        <v>19</v>
      </c>
      <c r="J969" t="s">
        <v>22</v>
      </c>
      <c r="K969" t="s">
        <v>13</v>
      </c>
    </row>
    <row r="970" spans="2:11" x14ac:dyDescent="0.25">
      <c r="B970">
        <v>966</v>
      </c>
      <c r="C970" s="1">
        <v>45004</v>
      </c>
      <c r="D970" t="s">
        <v>21</v>
      </c>
      <c r="E970" t="s">
        <v>11</v>
      </c>
      <c r="F970">
        <v>20</v>
      </c>
      <c r="G970">
        <v>11</v>
      </c>
      <c r="H970">
        <v>220</v>
      </c>
      <c r="I970" t="s">
        <v>19</v>
      </c>
      <c r="J970" t="s">
        <v>22</v>
      </c>
      <c r="K970" t="s">
        <v>23</v>
      </c>
    </row>
    <row r="971" spans="2:11" x14ac:dyDescent="0.25">
      <c r="B971">
        <v>967</v>
      </c>
      <c r="C971" s="1">
        <v>44741</v>
      </c>
      <c r="D971" t="s">
        <v>27</v>
      </c>
      <c r="E971" t="s">
        <v>18</v>
      </c>
      <c r="F971">
        <v>40</v>
      </c>
      <c r="G971">
        <v>14</v>
      </c>
      <c r="H971">
        <v>560</v>
      </c>
      <c r="I971" t="s">
        <v>15</v>
      </c>
      <c r="J971" t="s">
        <v>12</v>
      </c>
      <c r="K971" t="s">
        <v>16</v>
      </c>
    </row>
    <row r="972" spans="2:11" x14ac:dyDescent="0.25">
      <c r="B972">
        <v>968</v>
      </c>
      <c r="C972" s="1">
        <v>44782</v>
      </c>
      <c r="D972" t="s">
        <v>27</v>
      </c>
      <c r="E972" t="s">
        <v>18</v>
      </c>
      <c r="F972">
        <v>40</v>
      </c>
      <c r="G972">
        <v>15</v>
      </c>
      <c r="H972">
        <v>600</v>
      </c>
      <c r="I972" t="s">
        <v>15</v>
      </c>
      <c r="J972" t="s">
        <v>22</v>
      </c>
      <c r="K972" t="s">
        <v>23</v>
      </c>
    </row>
    <row r="973" spans="2:11" x14ac:dyDescent="0.25">
      <c r="B973">
        <v>969</v>
      </c>
      <c r="C973" s="1">
        <v>44871</v>
      </c>
      <c r="D973" t="s">
        <v>27</v>
      </c>
      <c r="E973" t="s">
        <v>18</v>
      </c>
      <c r="F973">
        <v>40</v>
      </c>
      <c r="G973">
        <v>11</v>
      </c>
      <c r="H973">
        <v>440</v>
      </c>
      <c r="I973" t="s">
        <v>15</v>
      </c>
      <c r="J973" t="s">
        <v>12</v>
      </c>
      <c r="K973" t="s">
        <v>23</v>
      </c>
    </row>
    <row r="974" spans="2:11" x14ac:dyDescent="0.25">
      <c r="B974">
        <v>970</v>
      </c>
      <c r="C974" s="1">
        <v>44886</v>
      </c>
      <c r="D974" t="s">
        <v>10</v>
      </c>
      <c r="E974" t="s">
        <v>11</v>
      </c>
      <c r="F974">
        <v>20</v>
      </c>
      <c r="G974">
        <v>5</v>
      </c>
      <c r="H974">
        <v>100</v>
      </c>
      <c r="I974" t="s">
        <v>19</v>
      </c>
      <c r="J974" t="s">
        <v>22</v>
      </c>
      <c r="K974" t="s">
        <v>16</v>
      </c>
    </row>
    <row r="975" spans="2:11" x14ac:dyDescent="0.25">
      <c r="B975">
        <v>971</v>
      </c>
      <c r="C975" s="1">
        <v>44836</v>
      </c>
      <c r="D975" t="s">
        <v>24</v>
      </c>
      <c r="E975" t="s">
        <v>11</v>
      </c>
      <c r="F975">
        <v>50</v>
      </c>
      <c r="G975">
        <v>2</v>
      </c>
      <c r="H975">
        <v>100</v>
      </c>
      <c r="I975" t="s">
        <v>15</v>
      </c>
      <c r="J975" t="s">
        <v>22</v>
      </c>
      <c r="K975" t="s">
        <v>23</v>
      </c>
    </row>
    <row r="976" spans="2:11" x14ac:dyDescent="0.25">
      <c r="B976">
        <v>972</v>
      </c>
      <c r="C976" s="1">
        <v>44996</v>
      </c>
      <c r="D976" t="s">
        <v>10</v>
      </c>
      <c r="E976" t="s">
        <v>11</v>
      </c>
      <c r="F976">
        <v>20</v>
      </c>
      <c r="G976">
        <v>1</v>
      </c>
      <c r="H976">
        <v>20</v>
      </c>
      <c r="I976" t="s">
        <v>15</v>
      </c>
      <c r="J976" t="s">
        <v>22</v>
      </c>
      <c r="K976" t="s">
        <v>16</v>
      </c>
    </row>
    <row r="977" spans="2:11" x14ac:dyDescent="0.25">
      <c r="B977">
        <v>973</v>
      </c>
      <c r="C977" s="1">
        <v>44719</v>
      </c>
      <c r="D977" t="s">
        <v>17</v>
      </c>
      <c r="E977" t="s">
        <v>18</v>
      </c>
      <c r="F977">
        <v>25</v>
      </c>
      <c r="G977">
        <v>1</v>
      </c>
      <c r="H977">
        <v>25</v>
      </c>
      <c r="J977" t="s">
        <v>22</v>
      </c>
      <c r="K977" t="s">
        <v>23</v>
      </c>
    </row>
    <row r="978" spans="2:11" x14ac:dyDescent="0.25">
      <c r="B978">
        <v>974</v>
      </c>
      <c r="C978" s="1">
        <v>44954</v>
      </c>
      <c r="D978" t="s">
        <v>14</v>
      </c>
      <c r="E978" t="s">
        <v>11</v>
      </c>
      <c r="F978">
        <v>20</v>
      </c>
      <c r="G978">
        <v>13</v>
      </c>
      <c r="H978">
        <v>260</v>
      </c>
      <c r="I978" t="s">
        <v>19</v>
      </c>
      <c r="J978" t="s">
        <v>12</v>
      </c>
      <c r="K978" t="s">
        <v>16</v>
      </c>
    </row>
    <row r="979" spans="2:11" x14ac:dyDescent="0.25">
      <c r="B979">
        <v>975</v>
      </c>
      <c r="C979" s="1">
        <v>44941</v>
      </c>
      <c r="D979" t="s">
        <v>10</v>
      </c>
      <c r="E979" t="s">
        <v>11</v>
      </c>
      <c r="F979">
        <v>20</v>
      </c>
      <c r="G979">
        <v>1</v>
      </c>
      <c r="H979">
        <v>20</v>
      </c>
      <c r="I979" t="s">
        <v>15</v>
      </c>
      <c r="J979" t="s">
        <v>12</v>
      </c>
      <c r="K979" t="s">
        <v>26</v>
      </c>
    </row>
    <row r="980" spans="2:11" x14ac:dyDescent="0.25">
      <c r="B980">
        <v>976</v>
      </c>
      <c r="C980" s="1">
        <v>44668</v>
      </c>
      <c r="D980" t="s">
        <v>17</v>
      </c>
      <c r="E980" t="s">
        <v>18</v>
      </c>
      <c r="F980">
        <v>25</v>
      </c>
      <c r="G980">
        <v>11</v>
      </c>
      <c r="H980">
        <v>275</v>
      </c>
      <c r="J980" t="s">
        <v>22</v>
      </c>
      <c r="K980" t="s">
        <v>23</v>
      </c>
    </row>
    <row r="981" spans="2:11" x14ac:dyDescent="0.25">
      <c r="B981">
        <v>977</v>
      </c>
      <c r="C981" s="1">
        <v>44931</v>
      </c>
      <c r="D981" t="s">
        <v>10</v>
      </c>
      <c r="E981" t="s">
        <v>11</v>
      </c>
      <c r="F981">
        <v>20</v>
      </c>
      <c r="G981">
        <v>1</v>
      </c>
      <c r="H981">
        <v>20</v>
      </c>
      <c r="I981" t="s">
        <v>15</v>
      </c>
      <c r="J981" t="s">
        <v>12</v>
      </c>
      <c r="K981" t="s">
        <v>20</v>
      </c>
    </row>
    <row r="982" spans="2:11" x14ac:dyDescent="0.25">
      <c r="B982">
        <v>978</v>
      </c>
      <c r="C982" s="1">
        <v>44842</v>
      </c>
      <c r="D982" t="s">
        <v>24</v>
      </c>
      <c r="E982" t="s">
        <v>11</v>
      </c>
      <c r="F982">
        <v>50</v>
      </c>
      <c r="G982">
        <v>2</v>
      </c>
      <c r="H982">
        <v>100</v>
      </c>
      <c r="I982" t="s">
        <v>19</v>
      </c>
      <c r="J982" t="s">
        <v>12</v>
      </c>
      <c r="K982" t="s">
        <v>13</v>
      </c>
    </row>
    <row r="983" spans="2:11" x14ac:dyDescent="0.25">
      <c r="B983">
        <v>979</v>
      </c>
      <c r="C983" s="1">
        <v>44702</v>
      </c>
      <c r="D983" t="s">
        <v>10</v>
      </c>
      <c r="E983" t="s">
        <v>11</v>
      </c>
      <c r="F983">
        <v>20</v>
      </c>
      <c r="G983">
        <v>13</v>
      </c>
      <c r="H983">
        <v>260</v>
      </c>
      <c r="I983" t="s">
        <v>15</v>
      </c>
      <c r="J983" t="s">
        <v>22</v>
      </c>
      <c r="K983" t="s">
        <v>26</v>
      </c>
    </row>
    <row r="984" spans="2:11" x14ac:dyDescent="0.25">
      <c r="B984">
        <v>980</v>
      </c>
      <c r="C984" s="1">
        <v>44732</v>
      </c>
      <c r="D984" t="s">
        <v>14</v>
      </c>
      <c r="E984" t="s">
        <v>11</v>
      </c>
      <c r="F984">
        <v>20</v>
      </c>
      <c r="G984">
        <v>9</v>
      </c>
      <c r="H984">
        <v>180</v>
      </c>
      <c r="I984" t="s">
        <v>19</v>
      </c>
      <c r="J984" t="s">
        <v>12</v>
      </c>
      <c r="K984" t="s">
        <v>23</v>
      </c>
    </row>
    <row r="985" spans="2:11" x14ac:dyDescent="0.25">
      <c r="B985">
        <v>981</v>
      </c>
      <c r="C985" s="1">
        <v>44948</v>
      </c>
      <c r="D985" t="s">
        <v>21</v>
      </c>
      <c r="E985" t="s">
        <v>11</v>
      </c>
      <c r="F985">
        <v>20</v>
      </c>
      <c r="G985">
        <v>15</v>
      </c>
      <c r="H985">
        <v>300</v>
      </c>
      <c r="I985" t="s">
        <v>19</v>
      </c>
      <c r="J985" t="s">
        <v>12</v>
      </c>
      <c r="K985" t="s">
        <v>26</v>
      </c>
    </row>
    <row r="986" spans="2:11" x14ac:dyDescent="0.25">
      <c r="B986">
        <v>982</v>
      </c>
      <c r="C986" s="1">
        <v>45015</v>
      </c>
      <c r="D986" t="s">
        <v>17</v>
      </c>
      <c r="E986" t="s">
        <v>18</v>
      </c>
      <c r="F986">
        <v>25</v>
      </c>
      <c r="G986">
        <v>14</v>
      </c>
      <c r="H986">
        <v>350</v>
      </c>
      <c r="I986" t="s">
        <v>15</v>
      </c>
      <c r="J986" t="s">
        <v>22</v>
      </c>
      <c r="K986" t="s">
        <v>13</v>
      </c>
    </row>
    <row r="987" spans="2:11" x14ac:dyDescent="0.25">
      <c r="B987">
        <v>983</v>
      </c>
      <c r="C987" s="1">
        <v>45002</v>
      </c>
      <c r="D987" t="s">
        <v>27</v>
      </c>
      <c r="E987" t="s">
        <v>18</v>
      </c>
      <c r="F987">
        <v>40</v>
      </c>
      <c r="G987">
        <v>10</v>
      </c>
      <c r="H987">
        <v>400</v>
      </c>
      <c r="J987" t="s">
        <v>22</v>
      </c>
      <c r="K987" t="s">
        <v>13</v>
      </c>
    </row>
    <row r="988" spans="2:11" x14ac:dyDescent="0.25">
      <c r="B988">
        <v>984</v>
      </c>
      <c r="C988" s="1">
        <v>44933</v>
      </c>
      <c r="D988" t="s">
        <v>24</v>
      </c>
      <c r="E988" t="s">
        <v>11</v>
      </c>
      <c r="F988">
        <v>50</v>
      </c>
      <c r="G988">
        <v>3</v>
      </c>
      <c r="H988">
        <v>150</v>
      </c>
      <c r="I988" t="s">
        <v>15</v>
      </c>
      <c r="J988" t="s">
        <v>12</v>
      </c>
      <c r="K988" t="s">
        <v>16</v>
      </c>
    </row>
    <row r="989" spans="2:11" x14ac:dyDescent="0.25">
      <c r="B989">
        <v>985</v>
      </c>
      <c r="C989" s="1">
        <v>44726</v>
      </c>
      <c r="D989" t="s">
        <v>24</v>
      </c>
      <c r="E989" t="s">
        <v>11</v>
      </c>
      <c r="F989">
        <v>50</v>
      </c>
      <c r="G989">
        <v>1</v>
      </c>
      <c r="H989">
        <v>50</v>
      </c>
      <c r="I989" t="s">
        <v>15</v>
      </c>
      <c r="J989" t="s">
        <v>22</v>
      </c>
      <c r="K989" t="s">
        <v>16</v>
      </c>
    </row>
    <row r="990" spans="2:11" x14ac:dyDescent="0.25">
      <c r="B990">
        <v>986</v>
      </c>
      <c r="C990" s="1">
        <v>44681</v>
      </c>
      <c r="D990" t="s">
        <v>17</v>
      </c>
      <c r="E990" t="s">
        <v>18</v>
      </c>
      <c r="F990">
        <v>25</v>
      </c>
      <c r="G990">
        <v>13</v>
      </c>
      <c r="H990">
        <v>325</v>
      </c>
      <c r="I990" t="s">
        <v>19</v>
      </c>
      <c r="J990" t="s">
        <v>12</v>
      </c>
      <c r="K990" t="s">
        <v>13</v>
      </c>
    </row>
    <row r="991" spans="2:11" x14ac:dyDescent="0.25">
      <c r="B991">
        <v>987</v>
      </c>
      <c r="C991" s="1">
        <v>44930</v>
      </c>
      <c r="D991" t="s">
        <v>14</v>
      </c>
      <c r="E991" t="s">
        <v>11</v>
      </c>
      <c r="F991">
        <v>20</v>
      </c>
      <c r="G991">
        <v>3</v>
      </c>
      <c r="H991">
        <v>60</v>
      </c>
      <c r="I991" t="s">
        <v>15</v>
      </c>
      <c r="J991" t="s">
        <v>22</v>
      </c>
      <c r="K991" t="s">
        <v>20</v>
      </c>
    </row>
    <row r="992" spans="2:11" x14ac:dyDescent="0.25">
      <c r="B992">
        <v>988</v>
      </c>
      <c r="C992" s="1">
        <v>44929</v>
      </c>
      <c r="D992" t="s">
        <v>24</v>
      </c>
      <c r="E992" t="s">
        <v>11</v>
      </c>
      <c r="F992">
        <v>50</v>
      </c>
      <c r="G992">
        <v>13</v>
      </c>
      <c r="H992">
        <v>650</v>
      </c>
      <c r="J992" t="s">
        <v>22</v>
      </c>
      <c r="K992" t="s">
        <v>13</v>
      </c>
    </row>
    <row r="993" spans="2:11" x14ac:dyDescent="0.25">
      <c r="B993">
        <v>989</v>
      </c>
      <c r="C993" s="1">
        <v>44845</v>
      </c>
      <c r="D993" t="s">
        <v>27</v>
      </c>
      <c r="E993" t="s">
        <v>18</v>
      </c>
      <c r="F993">
        <v>40</v>
      </c>
      <c r="G993">
        <v>13</v>
      </c>
      <c r="H993">
        <v>520</v>
      </c>
      <c r="I993" t="s">
        <v>15</v>
      </c>
      <c r="J993" t="s">
        <v>12</v>
      </c>
      <c r="K993" t="s">
        <v>16</v>
      </c>
    </row>
    <row r="994" spans="2:11" x14ac:dyDescent="0.25">
      <c r="B994">
        <v>990</v>
      </c>
      <c r="C994" s="1">
        <v>44889</v>
      </c>
      <c r="D994" t="s">
        <v>14</v>
      </c>
      <c r="E994" t="s">
        <v>11</v>
      </c>
      <c r="F994">
        <v>20</v>
      </c>
      <c r="G994">
        <v>10</v>
      </c>
      <c r="H994">
        <v>200</v>
      </c>
      <c r="I994" t="s">
        <v>19</v>
      </c>
      <c r="J994" t="s">
        <v>22</v>
      </c>
      <c r="K994" t="s">
        <v>23</v>
      </c>
    </row>
    <row r="995" spans="2:11" x14ac:dyDescent="0.25">
      <c r="B995">
        <v>991</v>
      </c>
      <c r="C995" s="1">
        <v>44944</v>
      </c>
      <c r="D995" t="s">
        <v>25</v>
      </c>
      <c r="E995" t="s">
        <v>11</v>
      </c>
      <c r="F995">
        <v>60</v>
      </c>
      <c r="G995">
        <v>7</v>
      </c>
      <c r="H995">
        <v>420</v>
      </c>
      <c r="I995" t="s">
        <v>15</v>
      </c>
      <c r="J995" t="s">
        <v>22</v>
      </c>
      <c r="K995" t="s">
        <v>13</v>
      </c>
    </row>
    <row r="996" spans="2:11" x14ac:dyDescent="0.25">
      <c r="B996">
        <v>992</v>
      </c>
      <c r="C996" s="1">
        <v>44855</v>
      </c>
      <c r="D996" t="s">
        <v>25</v>
      </c>
      <c r="E996" t="s">
        <v>11</v>
      </c>
      <c r="F996">
        <v>60</v>
      </c>
      <c r="G996">
        <v>5</v>
      </c>
      <c r="H996">
        <v>300</v>
      </c>
      <c r="I996" t="s">
        <v>15</v>
      </c>
      <c r="J996" t="s">
        <v>12</v>
      </c>
      <c r="K996" t="s">
        <v>23</v>
      </c>
    </row>
    <row r="997" spans="2:11" x14ac:dyDescent="0.25">
      <c r="B997">
        <v>993</v>
      </c>
      <c r="C997" s="1">
        <v>44759</v>
      </c>
      <c r="D997" t="s">
        <v>24</v>
      </c>
      <c r="E997" t="s">
        <v>11</v>
      </c>
      <c r="F997">
        <v>50</v>
      </c>
      <c r="G997">
        <v>3</v>
      </c>
      <c r="H997">
        <v>150</v>
      </c>
      <c r="I997" t="s">
        <v>19</v>
      </c>
      <c r="J997" t="s">
        <v>22</v>
      </c>
      <c r="K997" t="s">
        <v>13</v>
      </c>
    </row>
    <row r="998" spans="2:11" x14ac:dyDescent="0.25">
      <c r="B998">
        <v>994</v>
      </c>
      <c r="C998" s="1">
        <v>44866</v>
      </c>
      <c r="D998" t="s">
        <v>21</v>
      </c>
      <c r="E998" t="s">
        <v>11</v>
      </c>
      <c r="F998">
        <v>20</v>
      </c>
      <c r="G998">
        <v>2</v>
      </c>
      <c r="H998">
        <v>40</v>
      </c>
      <c r="I998" t="s">
        <v>19</v>
      </c>
      <c r="J998" t="s">
        <v>22</v>
      </c>
      <c r="K998" t="s">
        <v>20</v>
      </c>
    </row>
    <row r="999" spans="2:11" x14ac:dyDescent="0.25">
      <c r="B999">
        <v>995</v>
      </c>
      <c r="C999" s="1">
        <v>44730</v>
      </c>
      <c r="D999" t="s">
        <v>17</v>
      </c>
      <c r="E999" t="s">
        <v>18</v>
      </c>
      <c r="F999">
        <v>25</v>
      </c>
      <c r="G999">
        <v>1</v>
      </c>
      <c r="H999">
        <v>25</v>
      </c>
      <c r="I999" t="s">
        <v>19</v>
      </c>
      <c r="J999" t="s">
        <v>12</v>
      </c>
      <c r="K999" t="s">
        <v>13</v>
      </c>
    </row>
    <row r="1000" spans="2:11" x14ac:dyDescent="0.25">
      <c r="B1000">
        <v>996</v>
      </c>
      <c r="C1000" s="1">
        <v>45004</v>
      </c>
      <c r="D1000" t="s">
        <v>24</v>
      </c>
      <c r="E1000" t="s">
        <v>11</v>
      </c>
      <c r="F1000">
        <v>50</v>
      </c>
      <c r="G1000">
        <v>10</v>
      </c>
      <c r="H1000">
        <v>500</v>
      </c>
      <c r="J1000" t="s">
        <v>22</v>
      </c>
      <c r="K1000" t="s">
        <v>20</v>
      </c>
    </row>
    <row r="1001" spans="2:11" x14ac:dyDescent="0.25">
      <c r="B1001">
        <v>997</v>
      </c>
      <c r="C1001" s="1">
        <v>44824</v>
      </c>
      <c r="D1001" t="s">
        <v>25</v>
      </c>
      <c r="E1001" t="s">
        <v>11</v>
      </c>
      <c r="F1001">
        <v>60</v>
      </c>
      <c r="G1001">
        <v>7</v>
      </c>
      <c r="H1001">
        <v>420</v>
      </c>
      <c r="J1001" t="s">
        <v>12</v>
      </c>
      <c r="K1001" t="s">
        <v>20</v>
      </c>
    </row>
    <row r="1002" spans="2:11" x14ac:dyDescent="0.25">
      <c r="B1002">
        <v>998</v>
      </c>
      <c r="C1002" s="1">
        <v>44952</v>
      </c>
      <c r="D1002" t="s">
        <v>25</v>
      </c>
      <c r="E1002" t="s">
        <v>11</v>
      </c>
      <c r="F1002">
        <v>60</v>
      </c>
      <c r="G1002">
        <v>13</v>
      </c>
      <c r="H1002">
        <v>780</v>
      </c>
      <c r="J1002" t="s">
        <v>12</v>
      </c>
      <c r="K1002" t="s">
        <v>20</v>
      </c>
    </row>
    <row r="1003" spans="2:11" x14ac:dyDescent="0.25">
      <c r="B1003">
        <v>999</v>
      </c>
      <c r="C1003" s="1">
        <v>44800</v>
      </c>
      <c r="D1003" t="s">
        <v>21</v>
      </c>
      <c r="E1003" t="s">
        <v>11</v>
      </c>
      <c r="F1003">
        <v>20</v>
      </c>
      <c r="G1003">
        <v>5</v>
      </c>
      <c r="H1003">
        <v>100</v>
      </c>
      <c r="J1003" t="s">
        <v>22</v>
      </c>
      <c r="K1003" t="s">
        <v>16</v>
      </c>
    </row>
    <row r="1004" spans="2:11" x14ac:dyDescent="0.25">
      <c r="B1004">
        <v>1000</v>
      </c>
      <c r="C1004" s="1">
        <v>44710</v>
      </c>
      <c r="D1004" t="s">
        <v>10</v>
      </c>
      <c r="E1004" t="s">
        <v>11</v>
      </c>
      <c r="F1004">
        <v>20</v>
      </c>
      <c r="G1004">
        <v>3</v>
      </c>
      <c r="H1004">
        <v>60</v>
      </c>
      <c r="I1004" t="s">
        <v>19</v>
      </c>
      <c r="J1004" t="s">
        <v>22</v>
      </c>
      <c r="K1004" t="s">
        <v>26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1D9AE7D908C840B29982E47EAD0E42" ma:contentTypeVersion="6" ma:contentTypeDescription="Crear nuevo documento." ma:contentTypeScope="" ma:versionID="d2153369da0ae8ada5c5a25f16efbcd0">
  <xsd:schema xmlns:xsd="http://www.w3.org/2001/XMLSchema" xmlns:xs="http://www.w3.org/2001/XMLSchema" xmlns:p="http://schemas.microsoft.com/office/2006/metadata/properties" xmlns:ns3="0c0d032e-0284-4059-bd39-cc15efc7b765" targetNamespace="http://schemas.microsoft.com/office/2006/metadata/properties" ma:root="true" ma:fieldsID="e86aaf3f5c997d3919d7731d9d1a629d" ns3:_="">
    <xsd:import namespace="0c0d032e-0284-4059-bd39-cc15efc7b7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0d032e-0284-4059-bd39-cc15efc7b7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0d032e-0284-4059-bd39-cc15efc7b765" xsi:nil="true"/>
  </documentManagement>
</p:properties>
</file>

<file path=customXml/itemProps1.xml><?xml version="1.0" encoding="utf-8"?>
<ds:datastoreItem xmlns:ds="http://schemas.openxmlformats.org/officeDocument/2006/customXml" ds:itemID="{A1ABF5FF-B201-4C22-975E-A782C3C72E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EFF7AB-21CC-4C8A-BB3B-981DFB0B17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0d032e-0284-4059-bd39-cc15efc7b7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1A79DC-7E37-48EA-B9E5-24B3FB29703F}">
  <ds:schemaRefs>
    <ds:schemaRef ds:uri="http://purl.org/dc/elements/1.1/"/>
    <ds:schemaRef ds:uri="0c0d032e-0284-4059-bd39-cc15efc7b765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21</vt:i4>
      </vt:variant>
    </vt:vector>
  </HeadingPairs>
  <TitlesOfParts>
    <vt:vector size="29" baseType="lpstr">
      <vt:lpstr>Portada</vt:lpstr>
      <vt:lpstr>Dashboard</vt:lpstr>
      <vt:lpstr>Resumen</vt:lpstr>
      <vt:lpstr>Análisis</vt:lpstr>
      <vt:lpstr>Tabla Dinámica</vt:lpstr>
      <vt:lpstr>Datos Limpios</vt:lpstr>
      <vt:lpstr>Parámetros</vt:lpstr>
      <vt:lpstr>Datos Originales</vt:lpstr>
      <vt:lpstr>date</vt:lpstr>
      <vt:lpstr>fecha_de_venta</vt:lpstr>
      <vt:lpstr>franja_horaria</vt:lpstr>
      <vt:lpstr>item_name</vt:lpstr>
      <vt:lpstr>item_name_1</vt:lpstr>
      <vt:lpstr>item_price</vt:lpstr>
      <vt:lpstr>item_price_1</vt:lpstr>
      <vt:lpstr>item_type</vt:lpstr>
      <vt:lpstr>mes_venta</vt:lpstr>
      <vt:lpstr>método_de_pago</vt:lpstr>
      <vt:lpstr>metodo_pago</vt:lpstr>
      <vt:lpstr>order_id</vt:lpstr>
      <vt:lpstr>quantity</vt:lpstr>
      <vt:lpstr>received_by</vt:lpstr>
      <vt:lpstr>tamaño_pedido</vt:lpstr>
      <vt:lpstr>tamaño_pedido_1</vt:lpstr>
      <vt:lpstr>time_of_sale</vt:lpstr>
      <vt:lpstr>transaction_amount</vt:lpstr>
      <vt:lpstr>transaction_type</vt:lpstr>
      <vt:lpstr>umbral_grande</vt:lpstr>
      <vt:lpstr>umbral_mediano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Nura Es Salhi</dc:creator>
  <dc:description/>
  <cp:lastModifiedBy>Noura Rita Es-Salhi Piquer</cp:lastModifiedBy>
  <cp:revision>0</cp:revision>
  <dcterms:created xsi:type="dcterms:W3CDTF">2026-10-07T07:32:32Z</dcterms:created>
  <dcterms:modified xsi:type="dcterms:W3CDTF">2026-10-07T10:10:03Z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0x010100CA1D9AE7D908C840B29982E47EAD0E42</vt:lpwstr>
  </property>
</Properties>
</file>